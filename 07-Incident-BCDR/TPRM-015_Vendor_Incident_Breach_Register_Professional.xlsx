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ankar\Downloads\"/>
    </mc:Choice>
  </mc:AlternateContent>
  <xr:revisionPtr revIDLastSave="0" documentId="13_ncr:1_{6C5B6672-A445-4056-A142-DD4978E2BCB9}" xr6:coauthVersionLast="47" xr6:coauthVersionMax="47" xr10:uidLastSave="{00000000-0000-0000-0000-000000000000}"/>
  <bookViews>
    <workbookView xWindow="-108" yWindow="-108" windowWidth="23256" windowHeight="12576" firstSheet="6" activeTab="9" xr2:uid="{00000000-000D-0000-FFFF-FFFF00000000}"/>
  </bookViews>
  <sheets>
    <sheet name="README" sheetId="1" r:id="rId1"/>
    <sheet name="Document Control" sheetId="2" r:id="rId2"/>
    <sheet name="Incident Register" sheetId="3" r:id="rId3"/>
    <sheet name="Incident Assessment" sheetId="4" r:id="rId4"/>
    <sheet name="Notification Log" sheetId="5" r:id="rId5"/>
    <sheet name="Corrective Action Tracker" sheetId="6" r:id="rId6"/>
    <sheet name="Executive Summary" sheetId="7" r:id="rId7"/>
    <sheet name="Incident Trend Log" sheetId="8" r:id="rId8"/>
    <sheet name="Incident Methodology" sheetId="9" r:id="rId9"/>
    <sheet name="Data Dictionary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7" l="1"/>
  <c r="B7" i="7"/>
  <c r="F6" i="7"/>
  <c r="B6" i="7"/>
  <c r="F5" i="7"/>
  <c r="B5" i="7"/>
  <c r="F4" i="7"/>
  <c r="B4" i="7"/>
  <c r="F3" i="7"/>
  <c r="F2" i="7"/>
  <c r="H31" i="4"/>
  <c r="I31" i="4" s="1"/>
  <c r="H30" i="4"/>
  <c r="I30" i="4" s="1"/>
  <c r="H29" i="4"/>
  <c r="I29" i="4" s="1"/>
  <c r="I28" i="4"/>
  <c r="H28" i="4"/>
  <c r="H27" i="4"/>
  <c r="I27" i="4" s="1"/>
  <c r="I26" i="4"/>
  <c r="H26" i="4"/>
  <c r="H25" i="4"/>
  <c r="I25" i="4" s="1"/>
  <c r="I24" i="4"/>
  <c r="H24" i="4"/>
  <c r="H23" i="4"/>
  <c r="I23" i="4" s="1"/>
  <c r="I22" i="4"/>
  <c r="H22" i="4"/>
  <c r="H21" i="4"/>
  <c r="I21" i="4" s="1"/>
  <c r="I20" i="4"/>
  <c r="H20" i="4"/>
  <c r="H19" i="4"/>
  <c r="I19" i="4" s="1"/>
  <c r="I18" i="4"/>
  <c r="H18" i="4"/>
  <c r="H17" i="4"/>
  <c r="I17" i="4" s="1"/>
  <c r="I16" i="4"/>
  <c r="H16" i="4"/>
  <c r="H15" i="4"/>
  <c r="I15" i="4" s="1"/>
  <c r="I14" i="4"/>
  <c r="H14" i="4"/>
  <c r="H13" i="4"/>
  <c r="I13" i="4" s="1"/>
  <c r="I12" i="4"/>
  <c r="H12" i="4"/>
  <c r="H11" i="4"/>
  <c r="I11" i="4" s="1"/>
  <c r="I10" i="4"/>
  <c r="H10" i="4"/>
  <c r="H9" i="4"/>
  <c r="I9" i="4" s="1"/>
  <c r="I8" i="4"/>
  <c r="H8" i="4"/>
  <c r="H7" i="4"/>
  <c r="I7" i="4" s="1"/>
  <c r="I6" i="4"/>
  <c r="H6" i="4"/>
  <c r="H5" i="4"/>
  <c r="I5" i="4" s="1"/>
  <c r="I4" i="4"/>
  <c r="H4" i="4"/>
  <c r="H3" i="4"/>
  <c r="I3" i="4" s="1"/>
  <c r="I2" i="4"/>
  <c r="H2" i="4"/>
</calcChain>
</file>

<file path=xl/sharedStrings.xml><?xml version="1.0" encoding="utf-8"?>
<sst xmlns="http://schemas.openxmlformats.org/spreadsheetml/2006/main" count="4018" uniqueCount="595">
  <si>
    <t>TPRM-015 | VENDOR INCIDENT &amp; BREACH REGISTER</t>
  </si>
  <si>
    <t>Mayekar Technologies Pvt. Ltd.</t>
  </si>
  <si>
    <t>Document ID</t>
  </si>
  <si>
    <t>MTPL-TPRM-015</t>
  </si>
  <si>
    <t>Version</t>
  </si>
  <si>
    <t>1.0</t>
  </si>
  <si>
    <t>Prepared By</t>
  </si>
  <si>
    <t>Omkar Abhay Mayekar</t>
  </si>
  <si>
    <t>Status</t>
  </si>
  <si>
    <t>Portfolio / Simulated Evidence</t>
  </si>
  <si>
    <t>Purpose</t>
  </si>
  <si>
    <t>Central register for recording, assessing, escalating, investigating, remediating and closing third-party security/privacy/service incidents and breaches.</t>
  </si>
  <si>
    <t>Dependency</t>
  </si>
  <si>
    <t>TPRM-009 Vendor Risk Register; TPRM-013 Contract &amp; SLA Security Register; TPRM-014 Vendor Performance &amp; SLA Monitoring Register.</t>
  </si>
  <si>
    <t>Lifecycle</t>
  </si>
  <si>
    <t>Report → Triage → Classify → Contain → Investigate → Notify → Remediate → Verify → Close → Lessons Learned</t>
  </si>
  <si>
    <t>Escalation</t>
  </si>
  <si>
    <t>Material incidents, contractual notification events, repeated SLA breaches and high/critical impacts should be escalated according to defined governance.</t>
  </si>
  <si>
    <t>Disclaimer</t>
  </si>
  <si>
    <t>All incident records, timelines, impacts, root causes and actions are simulated placeholders for portfolio/learning purposes.</t>
  </si>
  <si>
    <t>Field</t>
  </si>
  <si>
    <t>Value</t>
  </si>
  <si>
    <t>Document Title</t>
  </si>
  <si>
    <t>Vendor Incident &amp; Breach Register</t>
  </si>
  <si>
    <t>Organization</t>
  </si>
  <si>
    <t>Reviewed By</t>
  </si>
  <si>
    <t>GRC Manager — Simulated</t>
  </si>
  <si>
    <t>Approved By</t>
  </si>
  <si>
    <t>Management — Simulated</t>
  </si>
  <si>
    <t>Effective Date</t>
  </si>
  <si>
    <t>2026-08-01</t>
  </si>
  <si>
    <t>Review Cycle</t>
  </si>
  <si>
    <t>Per incident and quarterly trend review</t>
  </si>
  <si>
    <t>Classification</t>
  </si>
  <si>
    <t>Internal / Confidential</t>
  </si>
  <si>
    <t>Portfolio / Simulated</t>
  </si>
  <si>
    <t>Incident ID</t>
  </si>
  <si>
    <t>Vendor ID</t>
  </si>
  <si>
    <t>Vendor Name</t>
  </si>
  <si>
    <t>Contract ID</t>
  </si>
  <si>
    <t>TPRM Tier</t>
  </si>
  <si>
    <t>Risk Rating</t>
  </si>
  <si>
    <t>Incident Date</t>
  </si>
  <si>
    <t>Detected Date</t>
  </si>
  <si>
    <t>Reported Date</t>
  </si>
  <si>
    <t>Incident Type</t>
  </si>
  <si>
    <t>Security Domain</t>
  </si>
  <si>
    <t>Severity</t>
  </si>
  <si>
    <t>Business Impact</t>
  </si>
  <si>
    <t>Data / Information Impact</t>
  </si>
  <si>
    <t>Service Impact</t>
  </si>
  <si>
    <t>Confidentiality Impact</t>
  </si>
  <si>
    <t>Integrity Impact</t>
  </si>
  <si>
    <t>Availability Impact</t>
  </si>
  <si>
    <t>Initial Risk</t>
  </si>
  <si>
    <t>Containment Status</t>
  </si>
  <si>
    <t>Root Cause Status</t>
  </si>
  <si>
    <t>Customer Notification Required</t>
  </si>
  <si>
    <t>Regulatory Notification Required</t>
  </si>
  <si>
    <t>Contractual Notification Required</t>
  </si>
  <si>
    <t>Notification Date</t>
  </si>
  <si>
    <t>Incident Owner</t>
  </si>
  <si>
    <t>Vendor Contact</t>
  </si>
  <si>
    <t>Internal Stakeholders</t>
  </si>
  <si>
    <t>Evidence / Ticket Reference</t>
  </si>
  <si>
    <t>Corrective Action</t>
  </si>
  <si>
    <t>Target Closure Date</t>
  </si>
  <si>
    <t>Verification Status</t>
  </si>
  <si>
    <t>Closure Date</t>
  </si>
  <si>
    <t>Lessons Learned</t>
  </si>
  <si>
    <t>Risk Register Link</t>
  </si>
  <si>
    <t>Management Escalation</t>
  </si>
  <si>
    <t>Comments</t>
  </si>
  <si>
    <t>INC-0001</t>
  </si>
  <si>
    <t>VND-001</t>
  </si>
  <si>
    <t>CloudSphere Infrastructure</t>
  </si>
  <si>
    <t>CTR-001</t>
  </si>
  <si>
    <t>Enhanced</t>
  </si>
  <si>
    <t>High</t>
  </si>
  <si>
    <t>Not Reported</t>
  </si>
  <si>
    <t>Security</t>
  </si>
  <si>
    <t>None</t>
  </si>
  <si>
    <t>Open</t>
  </si>
  <si>
    <t>To Be Assessed</t>
  </si>
  <si>
    <t>Not Started</t>
  </si>
  <si>
    <t>Pending</t>
  </si>
  <si>
    <t>Vendor Manager</t>
  </si>
  <si>
    <t>GRC / Security / Business Owner</t>
  </si>
  <si>
    <t>Investigate if incident occurs</t>
  </si>
  <si>
    <t>Capture lessons learned after closure</t>
  </si>
  <si>
    <t>VND-001-RISK</t>
  </si>
  <si>
    <t>No</t>
  </si>
  <si>
    <t>Simulated incident placeholder.</t>
  </si>
  <si>
    <t>INC-0002</t>
  </si>
  <si>
    <t>VND-002</t>
  </si>
  <si>
    <t>Microsoft 365 Services</t>
  </si>
  <si>
    <t>CTR-002</t>
  </si>
  <si>
    <t>Standard</t>
  </si>
  <si>
    <t>Medium</t>
  </si>
  <si>
    <t>VND-002-RISK</t>
  </si>
  <si>
    <t>INC-0003</t>
  </si>
  <si>
    <t>VND-003</t>
  </si>
  <si>
    <t>SecureVault Backup</t>
  </si>
  <si>
    <t>CTR-003</t>
  </si>
  <si>
    <t>VND-003-RISK</t>
  </si>
  <si>
    <t>INC-0004</t>
  </si>
  <si>
    <t>VND-004</t>
  </si>
  <si>
    <t>TalentCore HRMS</t>
  </si>
  <si>
    <t>CTR-004</t>
  </si>
  <si>
    <t>VND-004-RISK</t>
  </si>
  <si>
    <t>INC-0005</t>
  </si>
  <si>
    <t>VND-005</t>
  </si>
  <si>
    <t>PayMatrix Solutions</t>
  </si>
  <si>
    <t>CTR-005</t>
  </si>
  <si>
    <t>VND-005-RISK</t>
  </si>
  <si>
    <t>INC-0006</t>
  </si>
  <si>
    <t>VND-006</t>
  </si>
  <si>
    <t>SalesFlow CRM</t>
  </si>
  <si>
    <t>CTR-006</t>
  </si>
  <si>
    <t>VND-006-RISK</t>
  </si>
  <si>
    <t>INC-0007</t>
  </si>
  <si>
    <t>VND-007</t>
  </si>
  <si>
    <t>NetShield SOC Services</t>
  </si>
  <si>
    <t>CTR-007</t>
  </si>
  <si>
    <t>VND-007-RISK</t>
  </si>
  <si>
    <t>INC-0008</t>
  </si>
  <si>
    <t>VND-008</t>
  </si>
  <si>
    <t>RedFort Security Testing</t>
  </si>
  <si>
    <t>CTR-008</t>
  </si>
  <si>
    <t>VND-008-RISK</t>
  </si>
  <si>
    <t>INC-0009</t>
  </si>
  <si>
    <t>VND-009</t>
  </si>
  <si>
    <t>EndpointGuard Technologies</t>
  </si>
  <si>
    <t>CTR-009</t>
  </si>
  <si>
    <t>VND-009-RISK</t>
  </si>
  <si>
    <t>INC-0010</t>
  </si>
  <si>
    <t>VND-010</t>
  </si>
  <si>
    <t>ConnectNet Communications</t>
  </si>
  <si>
    <t>CTR-010</t>
  </si>
  <si>
    <t>VND-010-RISK</t>
  </si>
  <si>
    <t>INC-0011</t>
  </si>
  <si>
    <t>VND-011</t>
  </si>
  <si>
    <t>DataCenterOne</t>
  </si>
  <si>
    <t>CTR-011</t>
  </si>
  <si>
    <t>VND-011-RISK</t>
  </si>
  <si>
    <t>INC-0012</t>
  </si>
  <si>
    <t>VND-012</t>
  </si>
  <si>
    <t>RecruitPro Services</t>
  </si>
  <si>
    <t>CTR-012</t>
  </si>
  <si>
    <t>VND-012-RISK</t>
  </si>
  <si>
    <t>INC-0013</t>
  </si>
  <si>
    <t>VND-013</t>
  </si>
  <si>
    <t>FinLedger Systems</t>
  </si>
  <si>
    <t>CTR-013</t>
  </si>
  <si>
    <t>VND-013-RISK</t>
  </si>
  <si>
    <t>INC-0014</t>
  </si>
  <si>
    <t>VND-014</t>
  </si>
  <si>
    <t>PayGate Services</t>
  </si>
  <si>
    <t>CTR-014</t>
  </si>
  <si>
    <t>VND-014-RISK</t>
  </si>
  <si>
    <t>INC-0015</t>
  </si>
  <si>
    <t>VND-015</t>
  </si>
  <si>
    <t>ServiceDesk Pro</t>
  </si>
  <si>
    <t>CTR-015</t>
  </si>
  <si>
    <t>VND-015-RISK</t>
  </si>
  <si>
    <t>INC-0016</t>
  </si>
  <si>
    <t>VND-016</t>
  </si>
  <si>
    <t>PrintSecure Solutions</t>
  </si>
  <si>
    <t>CTR-016</t>
  </si>
  <si>
    <t>Basic</t>
  </si>
  <si>
    <t>Low</t>
  </si>
  <si>
    <t>VND-016-RISK</t>
  </si>
  <si>
    <t>INC-0017</t>
  </si>
  <si>
    <t>VND-017</t>
  </si>
  <si>
    <t>DocuSign Services</t>
  </si>
  <si>
    <t>CTR-017</t>
  </si>
  <si>
    <t>VND-017-RISK</t>
  </si>
  <si>
    <t>INC-0018</t>
  </si>
  <si>
    <t>VND-018</t>
  </si>
  <si>
    <t>LegalEdge Associates</t>
  </si>
  <si>
    <t>CTR-018</t>
  </si>
  <si>
    <t>VND-018-RISK</t>
  </si>
  <si>
    <t>INC-0019</t>
  </si>
  <si>
    <t>VND-019</t>
  </si>
  <si>
    <t>ComplianceCheck Advisory</t>
  </si>
  <si>
    <t>CTR-019</t>
  </si>
  <si>
    <t>VND-019-RISK</t>
  </si>
  <si>
    <t>INC-0020</t>
  </si>
  <si>
    <t>VND-020</t>
  </si>
  <si>
    <t>SecureShred Services</t>
  </si>
  <si>
    <t>CTR-020</t>
  </si>
  <si>
    <t>VND-020-RISK</t>
  </si>
  <si>
    <t>INC-0021</t>
  </si>
  <si>
    <t>VND-021</t>
  </si>
  <si>
    <t>GuardForce Security</t>
  </si>
  <si>
    <t>CTR-021</t>
  </si>
  <si>
    <t>VND-021-RISK</t>
  </si>
  <si>
    <t>INC-0022</t>
  </si>
  <si>
    <t>VND-022</t>
  </si>
  <si>
    <t>SafeCam Systems</t>
  </si>
  <si>
    <t>CTR-022</t>
  </si>
  <si>
    <t>VND-022-RISK</t>
  </si>
  <si>
    <t>INC-0023</t>
  </si>
  <si>
    <t>VND-023</t>
  </si>
  <si>
    <t>OfficeNet Infrastructure</t>
  </si>
  <si>
    <t>CTR-023</t>
  </si>
  <si>
    <t>VND-023-RISK</t>
  </si>
  <si>
    <t>INC-0024</t>
  </si>
  <si>
    <t>VND-024</t>
  </si>
  <si>
    <t>CodeSecure Labs</t>
  </si>
  <si>
    <t>CTR-024</t>
  </si>
  <si>
    <t>VND-024-RISK</t>
  </si>
  <si>
    <t>INC-0025</t>
  </si>
  <si>
    <t>VND-025</t>
  </si>
  <si>
    <t>LearnSecure Training</t>
  </si>
  <si>
    <t>CTR-025</t>
  </si>
  <si>
    <t>VND-025-RISK</t>
  </si>
  <si>
    <t>INC-0026</t>
  </si>
  <si>
    <t>VND-026</t>
  </si>
  <si>
    <t>TeleSupport Services</t>
  </si>
  <si>
    <t>CTR-026</t>
  </si>
  <si>
    <t>VND-026-RISK</t>
  </si>
  <si>
    <t>INC-0027</t>
  </si>
  <si>
    <t>VND-027</t>
  </si>
  <si>
    <t>MarketReach Analytics</t>
  </si>
  <si>
    <t>CTR-027</t>
  </si>
  <si>
    <t>VND-027-RISK</t>
  </si>
  <si>
    <t>INC-0028</t>
  </si>
  <si>
    <t>VND-028</t>
  </si>
  <si>
    <t>DevCloud Platform</t>
  </si>
  <si>
    <t>CTR-028</t>
  </si>
  <si>
    <t>VND-028-RISK</t>
  </si>
  <si>
    <t>INC-0029</t>
  </si>
  <si>
    <t>VND-029</t>
  </si>
  <si>
    <t>DisasterReady DR Services</t>
  </si>
  <si>
    <t>CTR-029</t>
  </si>
  <si>
    <t>VND-029-RISK</t>
  </si>
  <si>
    <t>INC-0030</t>
  </si>
  <si>
    <t>VND-030</t>
  </si>
  <si>
    <t>SecureCourier Logistics</t>
  </si>
  <si>
    <t>CTR-030</t>
  </si>
  <si>
    <t>VND-030-RISK</t>
  </si>
  <si>
    <t>Assessment ID</t>
  </si>
  <si>
    <t>Likelihood</t>
  </si>
  <si>
    <t>Impact</t>
  </si>
  <si>
    <t>Risk Score</t>
  </si>
  <si>
    <t>C/I/A Assessment</t>
  </si>
  <si>
    <t>Personal Data Involved</t>
  </si>
  <si>
    <t>Regulatory Impact</t>
  </si>
  <si>
    <t>Customer Impact</t>
  </si>
  <si>
    <t>Financial Impact</t>
  </si>
  <si>
    <t>Business Criticality</t>
  </si>
  <si>
    <t>Escalation Level</t>
  </si>
  <si>
    <t>Assessment Rationale</t>
  </si>
  <si>
    <t>Assessor</t>
  </si>
  <si>
    <t>Assessment Date</t>
  </si>
  <si>
    <t>IA-0001</t>
  </si>
  <si>
    <t>Initial assessment placeholder; update after triage.</t>
  </si>
  <si>
    <t>GRC Analyst</t>
  </si>
  <si>
    <t>IA-0002</t>
  </si>
  <si>
    <t>IA-0003</t>
  </si>
  <si>
    <t>IA-0004</t>
  </si>
  <si>
    <t>IA-0005</t>
  </si>
  <si>
    <t>IA-0006</t>
  </si>
  <si>
    <t>IA-0007</t>
  </si>
  <si>
    <t>IA-0008</t>
  </si>
  <si>
    <t>IA-0009</t>
  </si>
  <si>
    <t>IA-0010</t>
  </si>
  <si>
    <t>IA-0011</t>
  </si>
  <si>
    <t>IA-0012</t>
  </si>
  <si>
    <t>IA-0013</t>
  </si>
  <si>
    <t>IA-0014</t>
  </si>
  <si>
    <t>IA-0015</t>
  </si>
  <si>
    <t>IA-0016</t>
  </si>
  <si>
    <t>IA-0017</t>
  </si>
  <si>
    <t>IA-0018</t>
  </si>
  <si>
    <t>IA-0019</t>
  </si>
  <si>
    <t>IA-0020</t>
  </si>
  <si>
    <t>IA-0021</t>
  </si>
  <si>
    <t>IA-0022</t>
  </si>
  <si>
    <t>IA-0023</t>
  </si>
  <si>
    <t>IA-0024</t>
  </si>
  <si>
    <t>IA-0025</t>
  </si>
  <si>
    <t>IA-0026</t>
  </si>
  <si>
    <t>IA-0027</t>
  </si>
  <si>
    <t>IA-0028</t>
  </si>
  <si>
    <t>IA-0029</t>
  </si>
  <si>
    <t>IA-0030</t>
  </si>
  <si>
    <t>Notification ID</t>
  </si>
  <si>
    <t>Notification Type</t>
  </si>
  <si>
    <t>Recipient / Authority</t>
  </si>
  <si>
    <t>Trigger</t>
  </si>
  <si>
    <t>Required</t>
  </si>
  <si>
    <t>Due Date</t>
  </si>
  <si>
    <t>Sent Date</t>
  </si>
  <si>
    <t>Notification Reference</t>
  </si>
  <si>
    <t>NOT-0001</t>
  </si>
  <si>
    <t>Internal Management</t>
  </si>
  <si>
    <t>To Be Determined</t>
  </si>
  <si>
    <t>Incident assessment</t>
  </si>
  <si>
    <t>GRC Manager</t>
  </si>
  <si>
    <t>Simulated notification record</t>
  </si>
  <si>
    <t>NOT-0002</t>
  </si>
  <si>
    <t>Customer</t>
  </si>
  <si>
    <t>NOT-0003</t>
  </si>
  <si>
    <t>Contractual</t>
  </si>
  <si>
    <t>NOT-0004</t>
  </si>
  <si>
    <t>Regulatory</t>
  </si>
  <si>
    <t>NOT-0005</t>
  </si>
  <si>
    <t>Data Protection Authority</t>
  </si>
  <si>
    <t>NOT-0006</t>
  </si>
  <si>
    <t>Law Enforcement (if applicable)</t>
  </si>
  <si>
    <t>NOT-0007</t>
  </si>
  <si>
    <t>NOT-0008</t>
  </si>
  <si>
    <t>NOT-0009</t>
  </si>
  <si>
    <t>NOT-0010</t>
  </si>
  <si>
    <t>NOT-0011</t>
  </si>
  <si>
    <t>NOT-0012</t>
  </si>
  <si>
    <t>NOT-0013</t>
  </si>
  <si>
    <t>NOT-0014</t>
  </si>
  <si>
    <t>NOT-0015</t>
  </si>
  <si>
    <t>NOT-0016</t>
  </si>
  <si>
    <t>NOT-0017</t>
  </si>
  <si>
    <t>NOT-0018</t>
  </si>
  <si>
    <t>NOT-0019</t>
  </si>
  <si>
    <t>NOT-0020</t>
  </si>
  <si>
    <t>NOT-0021</t>
  </si>
  <si>
    <t>NOT-0022</t>
  </si>
  <si>
    <t>NOT-0023</t>
  </si>
  <si>
    <t>NOT-0024</t>
  </si>
  <si>
    <t>NOT-0025</t>
  </si>
  <si>
    <t>NOT-0026</t>
  </si>
  <si>
    <t>NOT-0027</t>
  </si>
  <si>
    <t>NOT-0028</t>
  </si>
  <si>
    <t>NOT-0029</t>
  </si>
  <si>
    <t>NOT-0030</t>
  </si>
  <si>
    <t>NOT-0031</t>
  </si>
  <si>
    <t>NOT-0032</t>
  </si>
  <si>
    <t>NOT-0033</t>
  </si>
  <si>
    <t>NOT-0034</t>
  </si>
  <si>
    <t>NOT-0035</t>
  </si>
  <si>
    <t>NOT-0036</t>
  </si>
  <si>
    <t>NOT-0037</t>
  </si>
  <si>
    <t>NOT-0038</t>
  </si>
  <si>
    <t>NOT-0039</t>
  </si>
  <si>
    <t>NOT-0040</t>
  </si>
  <si>
    <t>NOT-0041</t>
  </si>
  <si>
    <t>NOT-0042</t>
  </si>
  <si>
    <t>NOT-0043</t>
  </si>
  <si>
    <t>NOT-0044</t>
  </si>
  <si>
    <t>NOT-0045</t>
  </si>
  <si>
    <t>NOT-0046</t>
  </si>
  <si>
    <t>NOT-0047</t>
  </si>
  <si>
    <t>NOT-0048</t>
  </si>
  <si>
    <t>NOT-0049</t>
  </si>
  <si>
    <t>NOT-0050</t>
  </si>
  <si>
    <t>NOT-0051</t>
  </si>
  <si>
    <t>NOT-0052</t>
  </si>
  <si>
    <t>NOT-0053</t>
  </si>
  <si>
    <t>NOT-0054</t>
  </si>
  <si>
    <t>NOT-0055</t>
  </si>
  <si>
    <t>NOT-0056</t>
  </si>
  <si>
    <t>NOT-0057</t>
  </si>
  <si>
    <t>NOT-0058</t>
  </si>
  <si>
    <t>NOT-0059</t>
  </si>
  <si>
    <t>NOT-0060</t>
  </si>
  <si>
    <t>NOT-0061</t>
  </si>
  <si>
    <t>NOT-0062</t>
  </si>
  <si>
    <t>NOT-0063</t>
  </si>
  <si>
    <t>NOT-0064</t>
  </si>
  <si>
    <t>NOT-0065</t>
  </si>
  <si>
    <t>NOT-0066</t>
  </si>
  <si>
    <t>NOT-0067</t>
  </si>
  <si>
    <t>NOT-0068</t>
  </si>
  <si>
    <t>NOT-0069</t>
  </si>
  <si>
    <t>NOT-0070</t>
  </si>
  <si>
    <t>NOT-0071</t>
  </si>
  <si>
    <t>NOT-0072</t>
  </si>
  <si>
    <t>NOT-0073</t>
  </si>
  <si>
    <t>NOT-0074</t>
  </si>
  <si>
    <t>NOT-0075</t>
  </si>
  <si>
    <t>NOT-0076</t>
  </si>
  <si>
    <t>NOT-0077</t>
  </si>
  <si>
    <t>NOT-0078</t>
  </si>
  <si>
    <t>NOT-0079</t>
  </si>
  <si>
    <t>NOT-0080</t>
  </si>
  <si>
    <t>NOT-0081</t>
  </si>
  <si>
    <t>NOT-0082</t>
  </si>
  <si>
    <t>NOT-0083</t>
  </si>
  <si>
    <t>NOT-0084</t>
  </si>
  <si>
    <t>NOT-0085</t>
  </si>
  <si>
    <t>NOT-0086</t>
  </si>
  <si>
    <t>NOT-0087</t>
  </si>
  <si>
    <t>NOT-0088</t>
  </si>
  <si>
    <t>NOT-0089</t>
  </si>
  <si>
    <t>NOT-0090</t>
  </si>
  <si>
    <t>NOT-0091</t>
  </si>
  <si>
    <t>NOT-0092</t>
  </si>
  <si>
    <t>NOT-0093</t>
  </si>
  <si>
    <t>NOT-0094</t>
  </si>
  <si>
    <t>NOT-0095</t>
  </si>
  <si>
    <t>NOT-0096</t>
  </si>
  <si>
    <t>NOT-0097</t>
  </si>
  <si>
    <t>NOT-0098</t>
  </si>
  <si>
    <t>NOT-0099</t>
  </si>
  <si>
    <t>NOT-0100</t>
  </si>
  <si>
    <t>NOT-0101</t>
  </si>
  <si>
    <t>NOT-0102</t>
  </si>
  <si>
    <t>NOT-0103</t>
  </si>
  <si>
    <t>NOT-0104</t>
  </si>
  <si>
    <t>NOT-0105</t>
  </si>
  <si>
    <t>NOT-0106</t>
  </si>
  <si>
    <t>NOT-0107</t>
  </si>
  <si>
    <t>NOT-0108</t>
  </si>
  <si>
    <t>NOT-0109</t>
  </si>
  <si>
    <t>NOT-0110</t>
  </si>
  <si>
    <t>NOT-0111</t>
  </si>
  <si>
    <t>NOT-0112</t>
  </si>
  <si>
    <t>NOT-0113</t>
  </si>
  <si>
    <t>NOT-0114</t>
  </si>
  <si>
    <t>NOT-0115</t>
  </si>
  <si>
    <t>NOT-0116</t>
  </si>
  <si>
    <t>NOT-0117</t>
  </si>
  <si>
    <t>NOT-0118</t>
  </si>
  <si>
    <t>NOT-0119</t>
  </si>
  <si>
    <t>NOT-0120</t>
  </si>
  <si>
    <t>NOT-0121</t>
  </si>
  <si>
    <t>NOT-0122</t>
  </si>
  <si>
    <t>NOT-0123</t>
  </si>
  <si>
    <t>NOT-0124</t>
  </si>
  <si>
    <t>NOT-0125</t>
  </si>
  <si>
    <t>NOT-0126</t>
  </si>
  <si>
    <t>NOT-0127</t>
  </si>
  <si>
    <t>NOT-0128</t>
  </si>
  <si>
    <t>NOT-0129</t>
  </si>
  <si>
    <t>NOT-0130</t>
  </si>
  <si>
    <t>NOT-0131</t>
  </si>
  <si>
    <t>NOT-0132</t>
  </si>
  <si>
    <t>NOT-0133</t>
  </si>
  <si>
    <t>NOT-0134</t>
  </si>
  <si>
    <t>NOT-0135</t>
  </si>
  <si>
    <t>NOT-0136</t>
  </si>
  <si>
    <t>NOT-0137</t>
  </si>
  <si>
    <t>NOT-0138</t>
  </si>
  <si>
    <t>NOT-0139</t>
  </si>
  <si>
    <t>NOT-0140</t>
  </si>
  <si>
    <t>NOT-0141</t>
  </si>
  <si>
    <t>NOT-0142</t>
  </si>
  <si>
    <t>NOT-0143</t>
  </si>
  <si>
    <t>NOT-0144</t>
  </si>
  <si>
    <t>NOT-0145</t>
  </si>
  <si>
    <t>NOT-0146</t>
  </si>
  <si>
    <t>NOT-0147</t>
  </si>
  <si>
    <t>NOT-0148</t>
  </si>
  <si>
    <t>NOT-0149</t>
  </si>
  <si>
    <t>NOT-0150</t>
  </si>
  <si>
    <t>NOT-0151</t>
  </si>
  <si>
    <t>NOT-0152</t>
  </si>
  <si>
    <t>NOT-0153</t>
  </si>
  <si>
    <t>NOT-0154</t>
  </si>
  <si>
    <t>NOT-0155</t>
  </si>
  <si>
    <t>NOT-0156</t>
  </si>
  <si>
    <t>NOT-0157</t>
  </si>
  <si>
    <t>NOT-0158</t>
  </si>
  <si>
    <t>NOT-0159</t>
  </si>
  <si>
    <t>NOT-0160</t>
  </si>
  <si>
    <t>NOT-0161</t>
  </si>
  <si>
    <t>NOT-0162</t>
  </si>
  <si>
    <t>NOT-0163</t>
  </si>
  <si>
    <t>NOT-0164</t>
  </si>
  <si>
    <t>NOT-0165</t>
  </si>
  <si>
    <t>NOT-0166</t>
  </si>
  <si>
    <t>NOT-0167</t>
  </si>
  <si>
    <t>NOT-0168</t>
  </si>
  <si>
    <t>NOT-0169</t>
  </si>
  <si>
    <t>NOT-0170</t>
  </si>
  <si>
    <t>NOT-0171</t>
  </si>
  <si>
    <t>NOT-0172</t>
  </si>
  <si>
    <t>NOT-0173</t>
  </si>
  <si>
    <t>NOT-0174</t>
  </si>
  <si>
    <t>NOT-0175</t>
  </si>
  <si>
    <t>NOT-0176</t>
  </si>
  <si>
    <t>NOT-0177</t>
  </si>
  <si>
    <t>NOT-0178</t>
  </si>
  <si>
    <t>NOT-0179</t>
  </si>
  <si>
    <t>NOT-0180</t>
  </si>
  <si>
    <t>Action ID</t>
  </si>
  <si>
    <t>Action Owner</t>
  </si>
  <si>
    <t>Target Date</t>
  </si>
  <si>
    <t>Root Cause Addressed</t>
  </si>
  <si>
    <t>Verification Evidence</t>
  </si>
  <si>
    <t>Risk Treatment Link</t>
  </si>
  <si>
    <t>ACT-INC-001</t>
  </si>
  <si>
    <t>To be defined after incident investigation.</t>
  </si>
  <si>
    <t>Attach evidence after remediation.</t>
  </si>
  <si>
    <t>Simulated action placeholder</t>
  </si>
  <si>
    <t>ACT-INC-002</t>
  </si>
  <si>
    <t>ACT-INC-003</t>
  </si>
  <si>
    <t>ACT-INC-004</t>
  </si>
  <si>
    <t>ACT-INC-005</t>
  </si>
  <si>
    <t>ACT-INC-006</t>
  </si>
  <si>
    <t>ACT-INC-007</t>
  </si>
  <si>
    <t>ACT-INC-008</t>
  </si>
  <si>
    <t>ACT-INC-009</t>
  </si>
  <si>
    <t>ACT-INC-010</t>
  </si>
  <si>
    <t>ACT-INC-011</t>
  </si>
  <si>
    <t>ACT-INC-012</t>
  </si>
  <si>
    <t>ACT-INC-013</t>
  </si>
  <si>
    <t>ACT-INC-014</t>
  </si>
  <si>
    <t>ACT-INC-015</t>
  </si>
  <si>
    <t>ACT-INC-016</t>
  </si>
  <si>
    <t>ACT-INC-017</t>
  </si>
  <si>
    <t>ACT-INC-018</t>
  </si>
  <si>
    <t>ACT-INC-019</t>
  </si>
  <si>
    <t>ACT-INC-020</t>
  </si>
  <si>
    <t>ACT-INC-021</t>
  </si>
  <si>
    <t>ACT-INC-022</t>
  </si>
  <si>
    <t>ACT-INC-023</t>
  </si>
  <si>
    <t>ACT-INC-024</t>
  </si>
  <si>
    <t>ACT-INC-025</t>
  </si>
  <si>
    <t>ACT-INC-026</t>
  </si>
  <si>
    <t>ACT-INC-027</t>
  </si>
  <si>
    <t>ACT-INC-028</t>
  </si>
  <si>
    <t>ACT-INC-029</t>
  </si>
  <si>
    <t>ACT-INC-030</t>
  </si>
  <si>
    <t>Metric</t>
  </si>
  <si>
    <t>Management Interpretation</t>
  </si>
  <si>
    <t>Count</t>
  </si>
  <si>
    <t>Vendor Population</t>
  </si>
  <si>
    <t>Vendors in current incident management scope</t>
  </si>
  <si>
    <t>Incident Records</t>
  </si>
  <si>
    <t>One monitoring placeholder per vendor</t>
  </si>
  <si>
    <t>Critical Incidents</t>
  </si>
  <si>
    <t>Immediate management escalation</t>
  </si>
  <si>
    <t>High Incidents</t>
  </si>
  <si>
    <t>Priority investigation and treatment</t>
  </si>
  <si>
    <t>Open Incidents</t>
  </si>
  <si>
    <t>Current incident backlog</t>
  </si>
  <si>
    <t>Critical</t>
  </si>
  <si>
    <t>Security/Data Breach Records</t>
  </si>
  <si>
    <t>Requires security response and notification assessment</t>
  </si>
  <si>
    <t>Notification Records</t>
  </si>
  <si>
    <t>Notification tracking population</t>
  </si>
  <si>
    <t>Corrective Action Records</t>
  </si>
  <si>
    <t>Initial remediation tracking population</t>
  </si>
  <si>
    <t>Management Escalations</t>
  </si>
  <si>
    <t>Escalated incident population</t>
  </si>
  <si>
    <t>Period</t>
  </si>
  <si>
    <t>Total Incidents</t>
  </si>
  <si>
    <t>Security Incidents</t>
  </si>
  <si>
    <t>Data Breaches</t>
  </si>
  <si>
    <t>Privacy Incidents</t>
  </si>
  <si>
    <t>Service Outages</t>
  </si>
  <si>
    <t>SLA Breaches</t>
  </si>
  <si>
    <t>High/Critical</t>
  </si>
  <si>
    <t>Closed</t>
  </si>
  <si>
    <t>Trend / Management Comment</t>
  </si>
  <si>
    <t>2026-08</t>
  </si>
  <si>
    <t>Update monthly using Incident Register and management review.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</si>
  <si>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</si>
  <si>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</si>
  <si>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</si>
  <si>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</si>
  <si>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</si>
  <si>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</si>
  <si>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</si>
  <si>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</si>
  <si>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</si>
  <si>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</si>
  <si>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</si>
  <si>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Area</t>
  </si>
  <si>
    <t>Guidance</t>
  </si>
  <si>
    <t>Rule</t>
  </si>
  <si>
    <t>Triage</t>
  </si>
  <si>
    <t>Quickly determine incident type, scope, severity and response needs</t>
  </si>
  <si>
    <t>Record initial facts and update as investigation progresses</t>
  </si>
  <si>
    <t>Assess confidentiality, integrity, availability, privacy, customer, financial and regulatory impact</t>
  </si>
  <si>
    <t>Use defined severity/risk model</t>
  </si>
  <si>
    <t>Containment</t>
  </si>
  <si>
    <t>Limit ongoing harm or exposure</t>
  </si>
  <si>
    <t>Document containment action and owner</t>
  </si>
  <si>
    <t>Notification</t>
  </si>
  <si>
    <t>Determine internal, customer, contractual and regulatory notification obligations</t>
  </si>
  <si>
    <t>Record trigger, due date, approval and evidence</t>
  </si>
  <si>
    <t>Investigation</t>
  </si>
  <si>
    <t>Determine root cause and contributing factors</t>
  </si>
  <si>
    <t>Maintain evidence and investigation trail</t>
  </si>
  <si>
    <t>Remediation</t>
  </si>
  <si>
    <t>Correct control/service weakness</t>
  </si>
  <si>
    <t>Track action to verified closure</t>
  </si>
  <si>
    <t>Identify systemic improvements</t>
  </si>
  <si>
    <t>Feed outcomes into TPRM risk, controls and vendor oversight</t>
  </si>
  <si>
    <t>Escalate material/repeated incidents</t>
  </si>
  <si>
    <t>Link to risk register and management governance</t>
  </si>
  <si>
    <t>Field used to record, assess, notify, investigate, remediate, escalate and close third-party incidents/breaches.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</si>
</sst>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vertical="top" wrapText="1"/>
    </xf>
  </cellXfs>
  <cellStyles count="1">
    <cellStyle name="Normal" xfId="0" builtinId="0"/>
  </cellStyles>
  <dxfs count="118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C6E0B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Incident Severity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'Executive Summary'!$F$1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Summary'!$E$2:$E$6</c:f>
              <c:strCache>
                <c:ptCount val="5"/>
                <c:pt idx="0">
                  <c:v>None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Critical</c:v>
                </c:pt>
              </c:strCache>
            </c:strRef>
          </c:cat>
          <c:val>
            <c:numRef>
              <c:f>'Executive Summary'!$F$2:$F$6</c:f>
              <c:numCache>
                <c:formatCode>General</c:formatCode>
                <c:ptCount val="5"/>
                <c:pt idx="0">
                  <c:v>30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36-46FC-A522-DABC0AF1C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Severity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Incidents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9</xdr:row>
      <xdr:rowOff>0</xdr:rowOff>
    </xdr:from>
    <xdr:ext cx="39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dorIncidentRegister" displayName="VendorIncidentRegister" ref="A1:AL31">
  <autoFilter ref="A1:AL31" xr:uid="{00000000-0009-0000-0100-000001000000}"/>
  <tableColumns count="38">
    <tableColumn id="1" xr3:uid="{00000000-0010-0000-0000-000001000000}" name="Incident ID" dataDxfId="104"/>
    <tableColumn id="2" xr3:uid="{00000000-0010-0000-0000-000002000000}" name="Vendor ID" dataDxfId="103"/>
    <tableColumn id="3" xr3:uid="{00000000-0010-0000-0000-000003000000}" name="Vendor Name" dataDxfId="102"/>
    <tableColumn id="4" xr3:uid="{00000000-0010-0000-0000-000004000000}" name="Contract ID" dataDxfId="101"/>
    <tableColumn id="5" xr3:uid="{00000000-0010-0000-0000-000005000000}" name="TPRM Tier" dataDxfId="100"/>
    <tableColumn id="6" xr3:uid="{00000000-0010-0000-0000-000006000000}" name="Risk Rating" dataDxfId="99"/>
    <tableColumn id="7" xr3:uid="{00000000-0010-0000-0000-000007000000}" name="Incident Date" dataDxfId="98"/>
    <tableColumn id="8" xr3:uid="{00000000-0010-0000-0000-000008000000}" name="Detected Date" dataDxfId="97"/>
    <tableColumn id="9" xr3:uid="{00000000-0010-0000-0000-000009000000}" name="Reported Date" dataDxfId="96"/>
    <tableColumn id="10" xr3:uid="{00000000-0010-0000-0000-00000A000000}" name="Incident Type" dataDxfId="95"/>
    <tableColumn id="11" xr3:uid="{00000000-0010-0000-0000-00000B000000}" name="Security Domain" dataDxfId="94"/>
    <tableColumn id="12" xr3:uid="{00000000-0010-0000-0000-00000C000000}" name="Severity" dataDxfId="93"/>
    <tableColumn id="13" xr3:uid="{00000000-0010-0000-0000-00000D000000}" name="Status" dataDxfId="92"/>
    <tableColumn id="14" xr3:uid="{00000000-0010-0000-0000-00000E000000}" name="Business Impact" dataDxfId="91"/>
    <tableColumn id="15" xr3:uid="{00000000-0010-0000-0000-00000F000000}" name="Data / Information Impact" dataDxfId="90"/>
    <tableColumn id="16" xr3:uid="{00000000-0010-0000-0000-000010000000}" name="Service Impact" dataDxfId="89"/>
    <tableColumn id="17" xr3:uid="{00000000-0010-0000-0000-000011000000}" name="Confidentiality Impact" dataDxfId="88"/>
    <tableColumn id="18" xr3:uid="{00000000-0010-0000-0000-000012000000}" name="Integrity Impact" dataDxfId="87"/>
    <tableColumn id="19" xr3:uid="{00000000-0010-0000-0000-000013000000}" name="Availability Impact" dataDxfId="86"/>
    <tableColumn id="20" xr3:uid="{00000000-0010-0000-0000-000014000000}" name="Initial Risk" dataDxfId="85"/>
    <tableColumn id="21" xr3:uid="{00000000-0010-0000-0000-000015000000}" name="Containment Status" dataDxfId="84"/>
    <tableColumn id="22" xr3:uid="{00000000-0010-0000-0000-000016000000}" name="Root Cause Status" dataDxfId="83"/>
    <tableColumn id="23" xr3:uid="{00000000-0010-0000-0000-000017000000}" name="Customer Notification Required" dataDxfId="82"/>
    <tableColumn id="24" xr3:uid="{00000000-0010-0000-0000-000018000000}" name="Regulatory Notification Required" dataDxfId="81"/>
    <tableColumn id="25" xr3:uid="{00000000-0010-0000-0000-000019000000}" name="Contractual Notification Required" dataDxfId="80"/>
    <tableColumn id="26" xr3:uid="{00000000-0010-0000-0000-00001A000000}" name="Notification Date" dataDxfId="79"/>
    <tableColumn id="27" xr3:uid="{00000000-0010-0000-0000-00001B000000}" name="Incident Owner" dataDxfId="78"/>
    <tableColumn id="28" xr3:uid="{00000000-0010-0000-0000-00001C000000}" name="Vendor Contact" dataDxfId="77"/>
    <tableColumn id="29" xr3:uid="{00000000-0010-0000-0000-00001D000000}" name="Internal Stakeholders" dataDxfId="76"/>
    <tableColumn id="30" xr3:uid="{00000000-0010-0000-0000-00001E000000}" name="Evidence / Ticket Reference" dataDxfId="75"/>
    <tableColumn id="31" xr3:uid="{00000000-0010-0000-0000-00001F000000}" name="Corrective Action" dataDxfId="74"/>
    <tableColumn id="32" xr3:uid="{00000000-0010-0000-0000-000020000000}" name="Target Closure Date" dataDxfId="73"/>
    <tableColumn id="33" xr3:uid="{00000000-0010-0000-0000-000021000000}" name="Verification Status" dataDxfId="72"/>
    <tableColumn id="34" xr3:uid="{00000000-0010-0000-0000-000022000000}" name="Closure Date" dataDxfId="71"/>
    <tableColumn id="35" xr3:uid="{00000000-0010-0000-0000-000023000000}" name="Lessons Learned" dataDxfId="70"/>
    <tableColumn id="36" xr3:uid="{00000000-0010-0000-0000-000024000000}" name="Risk Register Link" dataDxfId="69"/>
    <tableColumn id="37" xr3:uid="{00000000-0010-0000-0000-000025000000}" name="Management Escalation" dataDxfId="68"/>
    <tableColumn id="38" xr3:uid="{00000000-0010-0000-0000-000026000000}" name="Comments" dataDxfId="6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cidentAssessment" displayName="IncidentAssessment" ref="A1:S31">
  <autoFilter ref="A1:S31" xr:uid="{00000000-0009-0000-0100-000002000000}"/>
  <tableColumns count="19">
    <tableColumn id="1" xr3:uid="{00000000-0010-0000-0100-000001000000}" name="Assessment ID" dataDxfId="66"/>
    <tableColumn id="2" xr3:uid="{00000000-0010-0000-0100-000002000000}" name="Incident ID" dataDxfId="65"/>
    <tableColumn id="3" xr3:uid="{00000000-0010-0000-0100-000003000000}" name="Vendor ID" dataDxfId="64"/>
    <tableColumn id="4" xr3:uid="{00000000-0010-0000-0100-000004000000}" name="Vendor Name" dataDxfId="63"/>
    <tableColumn id="5" xr3:uid="{00000000-0010-0000-0100-000005000000}" name="Severity" dataDxfId="62"/>
    <tableColumn id="6" xr3:uid="{00000000-0010-0000-0100-000006000000}" name="Likelihood" dataDxfId="61"/>
    <tableColumn id="7" xr3:uid="{00000000-0010-0000-0100-000007000000}" name="Impact" dataDxfId="60"/>
    <tableColumn id="8" xr3:uid="{00000000-0010-0000-0100-000008000000}" name="Risk Score" dataDxfId="59"/>
    <tableColumn id="9" xr3:uid="{00000000-0010-0000-0100-000009000000}" name="Risk Rating" dataDxfId="58"/>
    <tableColumn id="10" xr3:uid="{00000000-0010-0000-0100-00000A000000}" name="C/I/A Assessment" dataDxfId="57"/>
    <tableColumn id="11" xr3:uid="{00000000-0010-0000-0100-00000B000000}" name="Personal Data Involved" dataDxfId="56"/>
    <tableColumn id="12" xr3:uid="{00000000-0010-0000-0100-00000C000000}" name="Regulatory Impact" dataDxfId="55"/>
    <tableColumn id="13" xr3:uid="{00000000-0010-0000-0100-00000D000000}" name="Customer Impact" dataDxfId="54"/>
    <tableColumn id="14" xr3:uid="{00000000-0010-0000-0100-00000E000000}" name="Financial Impact" dataDxfId="53"/>
    <tableColumn id="15" xr3:uid="{00000000-0010-0000-0100-00000F000000}" name="Business Criticality" dataDxfId="52"/>
    <tableColumn id="16" xr3:uid="{00000000-0010-0000-0100-000010000000}" name="Escalation Level" dataDxfId="51"/>
    <tableColumn id="17" xr3:uid="{00000000-0010-0000-0100-000011000000}" name="Assessment Rationale" dataDxfId="50"/>
    <tableColumn id="18" xr3:uid="{00000000-0010-0000-0100-000012000000}" name="Assessor" dataDxfId="49"/>
    <tableColumn id="19" xr3:uid="{00000000-0010-0000-0100-000013000000}" name="Assessment Date" dataDxfId="4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cidentNotificationLog" displayName="IncidentNotificationLog" ref="A1:N181">
  <autoFilter ref="A1:N181" xr:uid="{00000000-0009-0000-0100-000003000000}"/>
  <tableColumns count="14">
    <tableColumn id="1" xr3:uid="{00000000-0010-0000-0200-000001000000}" name="Notification ID" dataDxfId="47"/>
    <tableColumn id="2" xr3:uid="{00000000-0010-0000-0200-000002000000}" name="Incident ID" dataDxfId="46"/>
    <tableColumn id="3" xr3:uid="{00000000-0010-0000-0200-000003000000}" name="Vendor ID" dataDxfId="45"/>
    <tableColumn id="4" xr3:uid="{00000000-0010-0000-0200-000004000000}" name="Vendor Name" dataDxfId="44"/>
    <tableColumn id="5" xr3:uid="{00000000-0010-0000-0200-000005000000}" name="Notification Type" dataDxfId="43"/>
    <tableColumn id="6" xr3:uid="{00000000-0010-0000-0200-000006000000}" name="Recipient / Authority" dataDxfId="42"/>
    <tableColumn id="7" xr3:uid="{00000000-0010-0000-0200-000007000000}" name="Trigger" dataDxfId="41"/>
    <tableColumn id="8" xr3:uid="{00000000-0010-0000-0200-000008000000}" name="Required" dataDxfId="40"/>
    <tableColumn id="9" xr3:uid="{00000000-0010-0000-0200-000009000000}" name="Due Date" dataDxfId="39"/>
    <tableColumn id="10" xr3:uid="{00000000-0010-0000-0200-00000A000000}" name="Sent Date" dataDxfId="38"/>
    <tableColumn id="11" xr3:uid="{00000000-0010-0000-0200-00000B000000}" name="Status" dataDxfId="37"/>
    <tableColumn id="12" xr3:uid="{00000000-0010-0000-0200-00000C000000}" name="Notification Reference" dataDxfId="36"/>
    <tableColumn id="13" xr3:uid="{00000000-0010-0000-0200-00000D000000}" name="Approved By" dataDxfId="35"/>
    <tableColumn id="14" xr3:uid="{00000000-0010-0000-0200-00000E000000}" name="Comments" dataDxfId="3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IncidentCorrectiveActions" displayName="IncidentCorrectiveActions" ref="A1:O31">
  <autoFilter ref="A1:O31" xr:uid="{00000000-0009-0000-0100-000004000000}"/>
  <tableColumns count="15">
    <tableColumn id="1" xr3:uid="{00000000-0010-0000-0300-000001000000}" name="Action ID" dataDxfId="33"/>
    <tableColumn id="2" xr3:uid="{00000000-0010-0000-0300-000002000000}" name="Incident ID" dataDxfId="32"/>
    <tableColumn id="3" xr3:uid="{00000000-0010-0000-0300-000003000000}" name="Vendor ID" dataDxfId="31"/>
    <tableColumn id="4" xr3:uid="{00000000-0010-0000-0300-000004000000}" name="Vendor Name" dataDxfId="30"/>
    <tableColumn id="5" xr3:uid="{00000000-0010-0000-0300-000005000000}" name="Severity" dataDxfId="29"/>
    <tableColumn id="6" xr3:uid="{00000000-0010-0000-0300-000006000000}" name="Corrective Action" dataDxfId="28"/>
    <tableColumn id="7" xr3:uid="{00000000-0010-0000-0300-000007000000}" name="Action Owner" dataDxfId="27"/>
    <tableColumn id="8" xr3:uid="{00000000-0010-0000-0300-000008000000}" name="Target Date" dataDxfId="26"/>
    <tableColumn id="9" xr3:uid="{00000000-0010-0000-0300-000009000000}" name="Status" dataDxfId="25"/>
    <tableColumn id="10" xr3:uid="{00000000-0010-0000-0300-00000A000000}" name="Root Cause Addressed" dataDxfId="24"/>
    <tableColumn id="11" xr3:uid="{00000000-0010-0000-0300-00000B000000}" name="Verification Evidence" dataDxfId="23"/>
    <tableColumn id="12" xr3:uid="{00000000-0010-0000-0300-00000C000000}" name="Verification Status" dataDxfId="22"/>
    <tableColumn id="13" xr3:uid="{00000000-0010-0000-0300-00000D000000}" name="Closure Date" dataDxfId="21"/>
    <tableColumn id="14" xr3:uid="{00000000-0010-0000-0300-00000E000000}" name="Risk Treatment Link" dataDxfId="20"/>
    <tableColumn id="15" xr3:uid="{00000000-0010-0000-0300-00000F000000}" name="Comments" dataDxfId="1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IncidentSummary" displayName="IncidentSummary" ref="A1:C10">
  <autoFilter ref="A1:C10" xr:uid="{00000000-0009-0000-0100-000005000000}"/>
  <tableColumns count="3">
    <tableColumn id="1" xr3:uid="{00000000-0010-0000-0400-000001000000}" name="Metric" dataDxfId="18"/>
    <tableColumn id="2" xr3:uid="{00000000-0010-0000-0400-000002000000}" name="Value" dataDxfId="17"/>
    <tableColumn id="3" xr3:uid="{00000000-0010-0000-0400-000003000000}" name="Management Interpretation" dataDxfId="1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IncidentTrendLog" displayName="IncidentTrendLog" ref="A1:K13">
  <autoFilter ref="A1:K13" xr:uid="{00000000-0009-0000-0100-000006000000}"/>
  <tableColumns count="11">
    <tableColumn id="1" xr3:uid="{00000000-0010-0000-0500-000001000000}" name="Period" dataDxfId="15"/>
    <tableColumn id="2" xr3:uid="{00000000-0010-0000-0500-000002000000}" name="Total Incidents" dataDxfId="14"/>
    <tableColumn id="3" xr3:uid="{00000000-0010-0000-0500-000003000000}" name="Security Incidents" dataDxfId="13"/>
    <tableColumn id="4" xr3:uid="{00000000-0010-0000-0500-000004000000}" name="Data Breaches" dataDxfId="12"/>
    <tableColumn id="5" xr3:uid="{00000000-0010-0000-0500-000005000000}" name="Privacy Incidents" dataDxfId="11"/>
    <tableColumn id="6" xr3:uid="{00000000-0010-0000-0500-000006000000}" name="Service Outages" dataDxfId="10"/>
    <tableColumn id="7" xr3:uid="{00000000-0010-0000-0500-000007000000}" name="SLA Breaches" dataDxfId="9"/>
    <tableColumn id="8" xr3:uid="{00000000-0010-0000-0500-000008000000}" name="High/Critical" dataDxfId="8"/>
    <tableColumn id="9" xr3:uid="{00000000-0010-0000-0500-000009000000}" name="Open" dataDxfId="7"/>
    <tableColumn id="10" xr3:uid="{00000000-0010-0000-0500-00000A000000}" name="Closed" dataDxfId="6"/>
    <tableColumn id="11" xr3:uid="{00000000-0010-0000-0500-00000B000000}" name="Trend / Management Comment" dataDxfId="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IncidentMethodology" displayName="IncidentMethodology" ref="A1:C9">
  <autoFilter ref="A1:C9" xr:uid="{00000000-0009-0000-0100-000007000000}"/>
  <tableColumns count="3">
    <tableColumn id="1" xr3:uid="{00000000-0010-0000-0600-000001000000}" name="Area" dataDxfId="4"/>
    <tableColumn id="2" xr3:uid="{00000000-0010-0000-0600-000002000000}" name="Guidance" dataDxfId="3"/>
    <tableColumn id="3" xr3:uid="{00000000-0010-0000-0600-000003000000}" name="Rule" dataDxfId="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IncidentDataDictionary" displayName="IncidentDataDictionary" ref="A1:B39">
  <autoFilter ref="A1:B39" xr:uid="{00000000-0009-0000-0100-000008000000}"/>
  <tableColumns count="2">
    <tableColumn id="1" xr3:uid="{00000000-0010-0000-0700-000001000000}" name="Field" dataDxfId="1"/>
    <tableColumn id="2" xr3:uid="{00000000-0010-0000-0700-000002000000}" name="Purpos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75B5"/>
  </sheetPr>
  <dimension ref="A1:B10"/>
  <sheetViews>
    <sheetView showGridLines="0" workbookViewId="0">
      <pane ySplit="1" topLeftCell="A2" activePane="bottomLeft" state="frozen"/>
      <selection pane="bottomLeft" activeCell="B9" sqref="A1:B10"/>
    </sheetView>
  </sheetViews>
  <sheetFormatPr defaultRowHeight="14.4" x14ac:dyDescent="0.3"/>
  <cols>
    <col min="1" max="1" width="30" customWidth="1"/>
    <col min="2" max="2" width="115" customWidth="1"/>
  </cols>
  <sheetData>
    <row r="1" spans="1:2" ht="31.2" x14ac:dyDescent="0.3">
      <c r="A1" s="2" t="s">
        <v>0</v>
      </c>
      <c r="B1" s="2" t="s">
        <v>1</v>
      </c>
    </row>
    <row r="2" spans="1:2" x14ac:dyDescent="0.3">
      <c r="A2" s="3" t="s">
        <v>2</v>
      </c>
      <c r="B2" s="3" t="s">
        <v>3</v>
      </c>
    </row>
    <row r="3" spans="1:2" x14ac:dyDescent="0.3">
      <c r="A3" s="3" t="s">
        <v>4</v>
      </c>
      <c r="B3" s="3" t="s">
        <v>5</v>
      </c>
    </row>
    <row r="4" spans="1:2" x14ac:dyDescent="0.3">
      <c r="A4" s="3" t="s">
        <v>6</v>
      </c>
      <c r="B4" s="3" t="s">
        <v>7</v>
      </c>
    </row>
    <row r="5" spans="1:2" x14ac:dyDescent="0.3">
      <c r="A5" s="3" t="s">
        <v>8</v>
      </c>
      <c r="B5" s="3" t="s">
        <v>9</v>
      </c>
    </row>
    <row r="6" spans="1:2" ht="28.8" x14ac:dyDescent="0.3">
      <c r="A6" s="3" t="s">
        <v>10</v>
      </c>
      <c r="B6" s="3" t="s">
        <v>11</v>
      </c>
    </row>
    <row r="7" spans="1:2" x14ac:dyDescent="0.3">
      <c r="A7" s="3" t="s">
        <v>12</v>
      </c>
      <c r="B7" s="3" t="s">
        <v>13</v>
      </c>
    </row>
    <row r="8" spans="1:2" x14ac:dyDescent="0.3">
      <c r="A8" s="3" t="s">
        <v>14</v>
      </c>
      <c r="B8" s="3" t="s">
        <v>15</v>
      </c>
    </row>
    <row r="9" spans="1:2" ht="28.8" x14ac:dyDescent="0.3">
      <c r="A9" s="3" t="s">
        <v>16</v>
      </c>
      <c r="B9" s="3" t="s">
        <v>17</v>
      </c>
    </row>
    <row r="10" spans="1:2" x14ac:dyDescent="0.3">
      <c r="A10" s="3" t="s">
        <v>18</v>
      </c>
      <c r="B10" s="3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5A5A5"/>
  </sheetPr>
  <dimension ref="A1:B12"/>
  <sheetViews>
    <sheetView showGridLines="0" workbookViewId="0">
      <pane ySplit="1" topLeftCell="A2" activePane="bottomLeft" state="frozen"/>
      <selection pane="bottomLeft" activeCell="B11" sqref="A1:B12"/>
    </sheetView>
  </sheetViews>
  <sheetFormatPr defaultRowHeight="14.4" x14ac:dyDescent="0.3"/>
  <cols>
    <col min="1" max="1" width="30" customWidth="1"/>
    <col min="2" max="2" width="110" customWidth="1"/>
  </cols>
  <sheetData>
    <row r="1" spans="1:2" x14ac:dyDescent="0.3">
      <c r="A1" s="4" t="s">
        <v>20</v>
      </c>
      <c r="B1" s="4" t="s">
        <v>21</v>
      </c>
    </row>
    <row r="2" spans="1:2" x14ac:dyDescent="0.3">
      <c r="A2" s="3" t="s">
        <v>22</v>
      </c>
      <c r="B2" s="3" t="s">
        <v>23</v>
      </c>
    </row>
    <row r="3" spans="1:2" x14ac:dyDescent="0.3">
      <c r="A3" s="3" t="s">
        <v>2</v>
      </c>
      <c r="B3" s="3" t="s">
        <v>3</v>
      </c>
    </row>
    <row r="4" spans="1:2" x14ac:dyDescent="0.3">
      <c r="A4" s="3" t="s">
        <v>4</v>
      </c>
      <c r="B4" s="3" t="s">
        <v>5</v>
      </c>
    </row>
    <row r="5" spans="1:2" x14ac:dyDescent="0.3">
      <c r="A5" s="3" t="s">
        <v>24</v>
      </c>
      <c r="B5" s="3" t="s">
        <v>1</v>
      </c>
    </row>
    <row r="6" spans="1:2" x14ac:dyDescent="0.3">
      <c r="A6" s="3" t="s">
        <v>6</v>
      </c>
      <c r="B6" s="3" t="s">
        <v>7</v>
      </c>
    </row>
    <row r="7" spans="1:2" x14ac:dyDescent="0.3">
      <c r="A7" s="3" t="s">
        <v>25</v>
      </c>
      <c r="B7" s="3" t="s">
        <v>26</v>
      </c>
    </row>
    <row r="8" spans="1:2" x14ac:dyDescent="0.3">
      <c r="A8" s="3" t="s">
        <v>27</v>
      </c>
      <c r="B8" s="3" t="s">
        <v>28</v>
      </c>
    </row>
    <row r="9" spans="1:2" x14ac:dyDescent="0.3">
      <c r="A9" s="3" t="s">
        <v>29</v>
      </c>
      <c r="B9" s="3" t="s">
        <v>30</v>
      </c>
    </row>
    <row r="10" spans="1:2" x14ac:dyDescent="0.3">
      <c r="A10" s="3" t="s">
        <v>31</v>
      </c>
      <c r="B10" s="3" t="s">
        <v>32</v>
      </c>
    </row>
    <row r="11" spans="1:2" x14ac:dyDescent="0.3">
      <c r="A11" s="3" t="s">
        <v>33</v>
      </c>
      <c r="B11" s="3" t="s">
        <v>34</v>
      </c>
    </row>
    <row r="12" spans="1:2" x14ac:dyDescent="0.3">
      <c r="A12" s="3" t="s">
        <v>8</v>
      </c>
      <c r="B12" s="3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AL31"/>
  <sheetViews>
    <sheetView showGridLines="0" workbookViewId="0">
      <pane ySplit="1" topLeftCell="A2" activePane="bottomLeft" state="frozen"/>
      <selection pane="bottomLeft" activeCell="D5" sqref="A2:AL31"/>
    </sheetView>
  </sheetViews>
  <sheetFormatPr defaultRowHeight="14.4" x14ac:dyDescent="0.3"/>
  <cols>
    <col min="1" max="1" width="16" customWidth="1"/>
    <col min="2" max="2" width="13" customWidth="1"/>
    <col min="3" max="3" width="30" customWidth="1"/>
    <col min="4" max="4" width="14" customWidth="1"/>
    <col min="5" max="9" width="15" customWidth="1"/>
    <col min="10" max="10" width="25" customWidth="1"/>
    <col min="11" max="11" width="22" customWidth="1"/>
    <col min="12" max="12" width="15" customWidth="1"/>
    <col min="13" max="13" width="18" customWidth="1"/>
    <col min="14" max="14" width="45" customWidth="1"/>
    <col min="15" max="16" width="40" customWidth="1"/>
    <col min="17" max="17" width="25" customWidth="1"/>
    <col min="18" max="19" width="22" customWidth="1"/>
    <col min="20" max="20" width="18" customWidth="1"/>
    <col min="21" max="22" width="22" customWidth="1"/>
    <col min="23" max="23" width="25" customWidth="1"/>
    <col min="24" max="24" width="28" customWidth="1"/>
    <col min="25" max="25" width="30" customWidth="1"/>
    <col min="26" max="26" width="16" customWidth="1"/>
    <col min="27" max="28" width="24" customWidth="1"/>
    <col min="29" max="29" width="35" customWidth="1"/>
    <col min="30" max="30" width="40" customWidth="1"/>
    <col min="31" max="31" width="60" customWidth="1"/>
    <col min="32" max="32" width="18" customWidth="1"/>
    <col min="33" max="33" width="20" customWidth="1"/>
    <col min="34" max="34" width="16" customWidth="1"/>
    <col min="35" max="35" width="50" customWidth="1"/>
    <col min="36" max="37" width="22" customWidth="1"/>
    <col min="38" max="38" width="50" customWidth="1"/>
  </cols>
  <sheetData>
    <row r="1" spans="1:38" ht="46.05" customHeight="1" x14ac:dyDescent="0.3">
      <c r="A1" s="5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  <c r="M1" s="5" t="s">
        <v>8</v>
      </c>
      <c r="N1" s="5" t="s">
        <v>48</v>
      </c>
      <c r="O1" s="5" t="s">
        <v>49</v>
      </c>
      <c r="P1" s="5" t="s">
        <v>50</v>
      </c>
      <c r="Q1" s="5" t="s">
        <v>51</v>
      </c>
      <c r="R1" s="5" t="s">
        <v>52</v>
      </c>
      <c r="S1" s="5" t="s">
        <v>53</v>
      </c>
      <c r="T1" s="5" t="s">
        <v>54</v>
      </c>
      <c r="U1" s="5" t="s">
        <v>55</v>
      </c>
      <c r="V1" s="5" t="s">
        <v>56</v>
      </c>
      <c r="W1" s="5" t="s">
        <v>57</v>
      </c>
      <c r="X1" s="5" t="s">
        <v>58</v>
      </c>
      <c r="Y1" s="5" t="s">
        <v>59</v>
      </c>
      <c r="Z1" s="5" t="s">
        <v>60</v>
      </c>
      <c r="AA1" s="5" t="s">
        <v>61</v>
      </c>
      <c r="AB1" s="5" t="s">
        <v>62</v>
      </c>
      <c r="AC1" s="5" t="s">
        <v>63</v>
      </c>
      <c r="AD1" s="5" t="s">
        <v>64</v>
      </c>
      <c r="AE1" s="5" t="s">
        <v>65</v>
      </c>
      <c r="AF1" s="5" t="s">
        <v>66</v>
      </c>
      <c r="AG1" s="5" t="s">
        <v>67</v>
      </c>
      <c r="AH1" s="5" t="s">
        <v>68</v>
      </c>
      <c r="AI1" s="5" t="s">
        <v>69</v>
      </c>
      <c r="AJ1" s="5" t="s">
        <v>70</v>
      </c>
      <c r="AK1" s="5" t="s">
        <v>71</v>
      </c>
      <c r="AL1" s="5" t="s">
        <v>72</v>
      </c>
    </row>
    <row r="2" spans="1:38" ht="85.05" customHeight="1" x14ac:dyDescent="0.3">
      <c r="A2" s="3" t="s">
        <v>73</v>
      </c>
      <c r="B2" s="3" t="s">
        <v>74</v>
      </c>
      <c r="C2" s="3" t="s">
        <v>75</v>
      </c>
      <c r="D2" s="3" t="s">
        <v>76</v>
      </c>
      <c r="E2" s="3" t="s">
        <v>77</v>
      </c>
      <c r="F2" s="3" t="s">
        <v>78</v>
      </c>
      <c r="G2" s="3"/>
      <c r="H2" s="3"/>
      <c r="I2" s="3"/>
      <c r="J2" s="3" t="s">
        <v>79</v>
      </c>
      <c r="K2" s="3" t="s">
        <v>80</v>
      </c>
      <c r="L2" s="3" t="s">
        <v>81</v>
      </c>
      <c r="M2" s="3" t="s">
        <v>82</v>
      </c>
      <c r="N2" s="3" t="s">
        <v>83</v>
      </c>
      <c r="O2" s="3" t="s">
        <v>83</v>
      </c>
      <c r="P2" s="3" t="s">
        <v>83</v>
      </c>
      <c r="Q2" s="3" t="s">
        <v>83</v>
      </c>
      <c r="R2" s="3" t="s">
        <v>83</v>
      </c>
      <c r="S2" s="3" t="s">
        <v>83</v>
      </c>
      <c r="T2" s="3" t="s">
        <v>83</v>
      </c>
      <c r="U2" s="3" t="s">
        <v>84</v>
      </c>
      <c r="V2" s="3" t="s">
        <v>84</v>
      </c>
      <c r="W2" s="3" t="s">
        <v>85</v>
      </c>
      <c r="X2" s="3" t="s">
        <v>85</v>
      </c>
      <c r="Y2" s="3" t="s">
        <v>85</v>
      </c>
      <c r="Z2" s="3"/>
      <c r="AA2" s="3" t="s">
        <v>86</v>
      </c>
      <c r="AB2" s="3" t="s">
        <v>62</v>
      </c>
      <c r="AC2" s="3" t="s">
        <v>87</v>
      </c>
      <c r="AD2" s="3" t="s">
        <v>85</v>
      </c>
      <c r="AE2" s="3" t="s">
        <v>88</v>
      </c>
      <c r="AF2" s="3"/>
      <c r="AG2" s="3" t="s">
        <v>85</v>
      </c>
      <c r="AH2" s="3"/>
      <c r="AI2" s="3" t="s">
        <v>89</v>
      </c>
      <c r="AJ2" s="3" t="s">
        <v>90</v>
      </c>
      <c r="AK2" s="3" t="s">
        <v>91</v>
      </c>
      <c r="AL2" s="3" t="s">
        <v>92</v>
      </c>
    </row>
    <row r="3" spans="1:38" ht="85.05" customHeight="1" x14ac:dyDescent="0.3">
      <c r="A3" s="3" t="s">
        <v>93</v>
      </c>
      <c r="B3" s="3" t="s">
        <v>94</v>
      </c>
      <c r="C3" s="3" t="s">
        <v>95</v>
      </c>
      <c r="D3" s="3" t="s">
        <v>96</v>
      </c>
      <c r="E3" s="3" t="s">
        <v>97</v>
      </c>
      <c r="F3" s="3" t="s">
        <v>98</v>
      </c>
      <c r="G3" s="3"/>
      <c r="H3" s="3"/>
      <c r="I3" s="3"/>
      <c r="J3" s="3" t="s">
        <v>79</v>
      </c>
      <c r="K3" s="3" t="s">
        <v>80</v>
      </c>
      <c r="L3" s="3" t="s">
        <v>81</v>
      </c>
      <c r="M3" s="3" t="s">
        <v>82</v>
      </c>
      <c r="N3" s="3" t="s">
        <v>83</v>
      </c>
      <c r="O3" s="3" t="s">
        <v>83</v>
      </c>
      <c r="P3" s="3" t="s">
        <v>83</v>
      </c>
      <c r="Q3" s="3" t="s">
        <v>83</v>
      </c>
      <c r="R3" s="3" t="s">
        <v>83</v>
      </c>
      <c r="S3" s="3" t="s">
        <v>83</v>
      </c>
      <c r="T3" s="3" t="s">
        <v>83</v>
      </c>
      <c r="U3" s="3" t="s">
        <v>84</v>
      </c>
      <c r="V3" s="3" t="s">
        <v>84</v>
      </c>
      <c r="W3" s="3" t="s">
        <v>85</v>
      </c>
      <c r="X3" s="3" t="s">
        <v>85</v>
      </c>
      <c r="Y3" s="3" t="s">
        <v>85</v>
      </c>
      <c r="Z3" s="3"/>
      <c r="AA3" s="3" t="s">
        <v>86</v>
      </c>
      <c r="AB3" s="3" t="s">
        <v>62</v>
      </c>
      <c r="AC3" s="3" t="s">
        <v>87</v>
      </c>
      <c r="AD3" s="3" t="s">
        <v>85</v>
      </c>
      <c r="AE3" s="3" t="s">
        <v>88</v>
      </c>
      <c r="AF3" s="3"/>
      <c r="AG3" s="3" t="s">
        <v>85</v>
      </c>
      <c r="AH3" s="3"/>
      <c r="AI3" s="3" t="s">
        <v>89</v>
      </c>
      <c r="AJ3" s="3" t="s">
        <v>99</v>
      </c>
      <c r="AK3" s="3" t="s">
        <v>91</v>
      </c>
      <c r="AL3" s="3" t="s">
        <v>92</v>
      </c>
    </row>
    <row r="4" spans="1:38" ht="85.05" customHeight="1" x14ac:dyDescent="0.3">
      <c r="A4" s="3" t="s">
        <v>100</v>
      </c>
      <c r="B4" s="3" t="s">
        <v>101</v>
      </c>
      <c r="C4" s="3" t="s">
        <v>102</v>
      </c>
      <c r="D4" s="3" t="s">
        <v>103</v>
      </c>
      <c r="E4" s="3" t="s">
        <v>77</v>
      </c>
      <c r="F4" s="3" t="s">
        <v>78</v>
      </c>
      <c r="G4" s="3"/>
      <c r="H4" s="3"/>
      <c r="I4" s="3"/>
      <c r="J4" s="3" t="s">
        <v>79</v>
      </c>
      <c r="K4" s="3" t="s">
        <v>80</v>
      </c>
      <c r="L4" s="3" t="s">
        <v>81</v>
      </c>
      <c r="M4" s="3" t="s">
        <v>82</v>
      </c>
      <c r="N4" s="3" t="s">
        <v>83</v>
      </c>
      <c r="O4" s="3" t="s">
        <v>83</v>
      </c>
      <c r="P4" s="3" t="s">
        <v>83</v>
      </c>
      <c r="Q4" s="3" t="s">
        <v>83</v>
      </c>
      <c r="R4" s="3" t="s">
        <v>83</v>
      </c>
      <c r="S4" s="3" t="s">
        <v>83</v>
      </c>
      <c r="T4" s="3" t="s">
        <v>83</v>
      </c>
      <c r="U4" s="3" t="s">
        <v>84</v>
      </c>
      <c r="V4" s="3" t="s">
        <v>84</v>
      </c>
      <c r="W4" s="3" t="s">
        <v>85</v>
      </c>
      <c r="X4" s="3" t="s">
        <v>85</v>
      </c>
      <c r="Y4" s="3" t="s">
        <v>85</v>
      </c>
      <c r="Z4" s="3"/>
      <c r="AA4" s="3" t="s">
        <v>86</v>
      </c>
      <c r="AB4" s="3" t="s">
        <v>62</v>
      </c>
      <c r="AC4" s="3" t="s">
        <v>87</v>
      </c>
      <c r="AD4" s="3" t="s">
        <v>85</v>
      </c>
      <c r="AE4" s="3" t="s">
        <v>88</v>
      </c>
      <c r="AF4" s="3"/>
      <c r="AG4" s="3" t="s">
        <v>85</v>
      </c>
      <c r="AH4" s="3"/>
      <c r="AI4" s="3" t="s">
        <v>89</v>
      </c>
      <c r="AJ4" s="3" t="s">
        <v>104</v>
      </c>
      <c r="AK4" s="3" t="s">
        <v>91</v>
      </c>
      <c r="AL4" s="3" t="s">
        <v>92</v>
      </c>
    </row>
    <row r="5" spans="1:38" ht="85.05" customHeight="1" x14ac:dyDescent="0.3">
      <c r="A5" s="3" t="s">
        <v>105</v>
      </c>
      <c r="B5" s="3" t="s">
        <v>106</v>
      </c>
      <c r="C5" s="3" t="s">
        <v>107</v>
      </c>
      <c r="D5" s="3" t="s">
        <v>108</v>
      </c>
      <c r="E5" s="3" t="s">
        <v>97</v>
      </c>
      <c r="F5" s="3" t="s">
        <v>98</v>
      </c>
      <c r="G5" s="3"/>
      <c r="H5" s="3"/>
      <c r="I5" s="3"/>
      <c r="J5" s="3" t="s">
        <v>79</v>
      </c>
      <c r="K5" s="3" t="s">
        <v>80</v>
      </c>
      <c r="L5" s="3" t="s">
        <v>81</v>
      </c>
      <c r="M5" s="3" t="s">
        <v>82</v>
      </c>
      <c r="N5" s="3" t="s">
        <v>83</v>
      </c>
      <c r="O5" s="3" t="s">
        <v>83</v>
      </c>
      <c r="P5" s="3" t="s">
        <v>83</v>
      </c>
      <c r="Q5" s="3" t="s">
        <v>83</v>
      </c>
      <c r="R5" s="3" t="s">
        <v>83</v>
      </c>
      <c r="S5" s="3" t="s">
        <v>83</v>
      </c>
      <c r="T5" s="3" t="s">
        <v>83</v>
      </c>
      <c r="U5" s="3" t="s">
        <v>84</v>
      </c>
      <c r="V5" s="3" t="s">
        <v>84</v>
      </c>
      <c r="W5" s="3" t="s">
        <v>85</v>
      </c>
      <c r="X5" s="3" t="s">
        <v>85</v>
      </c>
      <c r="Y5" s="3" t="s">
        <v>85</v>
      </c>
      <c r="Z5" s="3"/>
      <c r="AA5" s="3" t="s">
        <v>86</v>
      </c>
      <c r="AB5" s="3" t="s">
        <v>62</v>
      </c>
      <c r="AC5" s="3" t="s">
        <v>87</v>
      </c>
      <c r="AD5" s="3" t="s">
        <v>85</v>
      </c>
      <c r="AE5" s="3" t="s">
        <v>88</v>
      </c>
      <c r="AF5" s="3"/>
      <c r="AG5" s="3" t="s">
        <v>85</v>
      </c>
      <c r="AH5" s="3"/>
      <c r="AI5" s="3" t="s">
        <v>89</v>
      </c>
      <c r="AJ5" s="3" t="s">
        <v>109</v>
      </c>
      <c r="AK5" s="3" t="s">
        <v>91</v>
      </c>
      <c r="AL5" s="3" t="s">
        <v>92</v>
      </c>
    </row>
    <row r="6" spans="1:38" ht="85.05" customHeight="1" x14ac:dyDescent="0.3">
      <c r="A6" s="3" t="s">
        <v>110</v>
      </c>
      <c r="B6" s="3" t="s">
        <v>111</v>
      </c>
      <c r="C6" s="3" t="s">
        <v>112</v>
      </c>
      <c r="D6" s="3" t="s">
        <v>113</v>
      </c>
      <c r="E6" s="3" t="s">
        <v>97</v>
      </c>
      <c r="F6" s="3" t="s">
        <v>98</v>
      </c>
      <c r="G6" s="3"/>
      <c r="H6" s="3"/>
      <c r="I6" s="3"/>
      <c r="J6" s="3" t="s">
        <v>79</v>
      </c>
      <c r="K6" s="3" t="s">
        <v>80</v>
      </c>
      <c r="L6" s="3" t="s">
        <v>81</v>
      </c>
      <c r="M6" s="3" t="s">
        <v>82</v>
      </c>
      <c r="N6" s="3" t="s">
        <v>83</v>
      </c>
      <c r="O6" s="3" t="s">
        <v>83</v>
      </c>
      <c r="P6" s="3" t="s">
        <v>83</v>
      </c>
      <c r="Q6" s="3" t="s">
        <v>83</v>
      </c>
      <c r="R6" s="3" t="s">
        <v>83</v>
      </c>
      <c r="S6" s="3" t="s">
        <v>83</v>
      </c>
      <c r="T6" s="3" t="s">
        <v>83</v>
      </c>
      <c r="U6" s="3" t="s">
        <v>84</v>
      </c>
      <c r="V6" s="3" t="s">
        <v>84</v>
      </c>
      <c r="W6" s="3" t="s">
        <v>85</v>
      </c>
      <c r="X6" s="3" t="s">
        <v>85</v>
      </c>
      <c r="Y6" s="3" t="s">
        <v>85</v>
      </c>
      <c r="Z6" s="3"/>
      <c r="AA6" s="3" t="s">
        <v>86</v>
      </c>
      <c r="AB6" s="3" t="s">
        <v>62</v>
      </c>
      <c r="AC6" s="3" t="s">
        <v>87</v>
      </c>
      <c r="AD6" s="3" t="s">
        <v>85</v>
      </c>
      <c r="AE6" s="3" t="s">
        <v>88</v>
      </c>
      <c r="AF6" s="3"/>
      <c r="AG6" s="3" t="s">
        <v>85</v>
      </c>
      <c r="AH6" s="3"/>
      <c r="AI6" s="3" t="s">
        <v>89</v>
      </c>
      <c r="AJ6" s="3" t="s">
        <v>114</v>
      </c>
      <c r="AK6" s="3" t="s">
        <v>91</v>
      </c>
      <c r="AL6" s="3" t="s">
        <v>92</v>
      </c>
    </row>
    <row r="7" spans="1:38" ht="85.05" customHeight="1" x14ac:dyDescent="0.3">
      <c r="A7" s="3" t="s">
        <v>115</v>
      </c>
      <c r="B7" s="3" t="s">
        <v>116</v>
      </c>
      <c r="C7" s="3" t="s">
        <v>117</v>
      </c>
      <c r="D7" s="3" t="s">
        <v>118</v>
      </c>
      <c r="E7" s="3" t="s">
        <v>97</v>
      </c>
      <c r="F7" s="3" t="s">
        <v>98</v>
      </c>
      <c r="G7" s="3"/>
      <c r="H7" s="3"/>
      <c r="I7" s="3"/>
      <c r="J7" s="3" t="s">
        <v>79</v>
      </c>
      <c r="K7" s="3" t="s">
        <v>80</v>
      </c>
      <c r="L7" s="3" t="s">
        <v>81</v>
      </c>
      <c r="M7" s="3" t="s">
        <v>82</v>
      </c>
      <c r="N7" s="3" t="s">
        <v>83</v>
      </c>
      <c r="O7" s="3" t="s">
        <v>83</v>
      </c>
      <c r="P7" s="3" t="s">
        <v>83</v>
      </c>
      <c r="Q7" s="3" t="s">
        <v>83</v>
      </c>
      <c r="R7" s="3" t="s">
        <v>83</v>
      </c>
      <c r="S7" s="3" t="s">
        <v>83</v>
      </c>
      <c r="T7" s="3" t="s">
        <v>83</v>
      </c>
      <c r="U7" s="3" t="s">
        <v>84</v>
      </c>
      <c r="V7" s="3" t="s">
        <v>84</v>
      </c>
      <c r="W7" s="3" t="s">
        <v>85</v>
      </c>
      <c r="X7" s="3" t="s">
        <v>85</v>
      </c>
      <c r="Y7" s="3" t="s">
        <v>85</v>
      </c>
      <c r="Z7" s="3"/>
      <c r="AA7" s="3" t="s">
        <v>86</v>
      </c>
      <c r="AB7" s="3" t="s">
        <v>62</v>
      </c>
      <c r="AC7" s="3" t="s">
        <v>87</v>
      </c>
      <c r="AD7" s="3" t="s">
        <v>85</v>
      </c>
      <c r="AE7" s="3" t="s">
        <v>88</v>
      </c>
      <c r="AF7" s="3"/>
      <c r="AG7" s="3" t="s">
        <v>85</v>
      </c>
      <c r="AH7" s="3"/>
      <c r="AI7" s="3" t="s">
        <v>89</v>
      </c>
      <c r="AJ7" s="3" t="s">
        <v>119</v>
      </c>
      <c r="AK7" s="3" t="s">
        <v>91</v>
      </c>
      <c r="AL7" s="3" t="s">
        <v>92</v>
      </c>
    </row>
    <row r="8" spans="1:38" ht="85.05" customHeight="1" x14ac:dyDescent="0.3">
      <c r="A8" s="3" t="s">
        <v>120</v>
      </c>
      <c r="B8" s="3" t="s">
        <v>121</v>
      </c>
      <c r="C8" s="3" t="s">
        <v>122</v>
      </c>
      <c r="D8" s="3" t="s">
        <v>123</v>
      </c>
      <c r="E8" s="3" t="s">
        <v>77</v>
      </c>
      <c r="F8" s="3" t="s">
        <v>78</v>
      </c>
      <c r="G8" s="3"/>
      <c r="H8" s="3"/>
      <c r="I8" s="3"/>
      <c r="J8" s="3" t="s">
        <v>79</v>
      </c>
      <c r="K8" s="3" t="s">
        <v>80</v>
      </c>
      <c r="L8" s="3" t="s">
        <v>81</v>
      </c>
      <c r="M8" s="3" t="s">
        <v>82</v>
      </c>
      <c r="N8" s="3" t="s">
        <v>83</v>
      </c>
      <c r="O8" s="3" t="s">
        <v>83</v>
      </c>
      <c r="P8" s="3" t="s">
        <v>83</v>
      </c>
      <c r="Q8" s="3" t="s">
        <v>83</v>
      </c>
      <c r="R8" s="3" t="s">
        <v>83</v>
      </c>
      <c r="S8" s="3" t="s">
        <v>83</v>
      </c>
      <c r="T8" s="3" t="s">
        <v>83</v>
      </c>
      <c r="U8" s="3" t="s">
        <v>84</v>
      </c>
      <c r="V8" s="3" t="s">
        <v>84</v>
      </c>
      <c r="W8" s="3" t="s">
        <v>85</v>
      </c>
      <c r="X8" s="3" t="s">
        <v>85</v>
      </c>
      <c r="Y8" s="3" t="s">
        <v>85</v>
      </c>
      <c r="Z8" s="3"/>
      <c r="AA8" s="3" t="s">
        <v>86</v>
      </c>
      <c r="AB8" s="3" t="s">
        <v>62</v>
      </c>
      <c r="AC8" s="3" t="s">
        <v>87</v>
      </c>
      <c r="AD8" s="3" t="s">
        <v>85</v>
      </c>
      <c r="AE8" s="3" t="s">
        <v>88</v>
      </c>
      <c r="AF8" s="3"/>
      <c r="AG8" s="3" t="s">
        <v>85</v>
      </c>
      <c r="AH8" s="3"/>
      <c r="AI8" s="3" t="s">
        <v>89</v>
      </c>
      <c r="AJ8" s="3" t="s">
        <v>124</v>
      </c>
      <c r="AK8" s="3" t="s">
        <v>91</v>
      </c>
      <c r="AL8" s="3" t="s">
        <v>92</v>
      </c>
    </row>
    <row r="9" spans="1:38" ht="85.05" customHeight="1" x14ac:dyDescent="0.3">
      <c r="A9" s="3" t="s">
        <v>125</v>
      </c>
      <c r="B9" s="3" t="s">
        <v>126</v>
      </c>
      <c r="C9" s="3" t="s">
        <v>127</v>
      </c>
      <c r="D9" s="3" t="s">
        <v>128</v>
      </c>
      <c r="E9" s="3" t="s">
        <v>97</v>
      </c>
      <c r="F9" s="3" t="s">
        <v>98</v>
      </c>
      <c r="G9" s="3"/>
      <c r="H9" s="3"/>
      <c r="I9" s="3"/>
      <c r="J9" s="3" t="s">
        <v>79</v>
      </c>
      <c r="K9" s="3" t="s">
        <v>80</v>
      </c>
      <c r="L9" s="3" t="s">
        <v>81</v>
      </c>
      <c r="M9" s="3" t="s">
        <v>82</v>
      </c>
      <c r="N9" s="3" t="s">
        <v>83</v>
      </c>
      <c r="O9" s="3" t="s">
        <v>83</v>
      </c>
      <c r="P9" s="3" t="s">
        <v>83</v>
      </c>
      <c r="Q9" s="3" t="s">
        <v>83</v>
      </c>
      <c r="R9" s="3" t="s">
        <v>83</v>
      </c>
      <c r="S9" s="3" t="s">
        <v>83</v>
      </c>
      <c r="T9" s="3" t="s">
        <v>83</v>
      </c>
      <c r="U9" s="3" t="s">
        <v>84</v>
      </c>
      <c r="V9" s="3" t="s">
        <v>84</v>
      </c>
      <c r="W9" s="3" t="s">
        <v>85</v>
      </c>
      <c r="X9" s="3" t="s">
        <v>85</v>
      </c>
      <c r="Y9" s="3" t="s">
        <v>85</v>
      </c>
      <c r="Z9" s="3"/>
      <c r="AA9" s="3" t="s">
        <v>86</v>
      </c>
      <c r="AB9" s="3" t="s">
        <v>62</v>
      </c>
      <c r="AC9" s="3" t="s">
        <v>87</v>
      </c>
      <c r="AD9" s="3" t="s">
        <v>85</v>
      </c>
      <c r="AE9" s="3" t="s">
        <v>88</v>
      </c>
      <c r="AF9" s="3"/>
      <c r="AG9" s="3" t="s">
        <v>85</v>
      </c>
      <c r="AH9" s="3"/>
      <c r="AI9" s="3" t="s">
        <v>89</v>
      </c>
      <c r="AJ9" s="3" t="s">
        <v>129</v>
      </c>
      <c r="AK9" s="3" t="s">
        <v>91</v>
      </c>
      <c r="AL9" s="3" t="s">
        <v>92</v>
      </c>
    </row>
    <row r="10" spans="1:38" ht="85.05" customHeight="1" x14ac:dyDescent="0.3">
      <c r="A10" s="3" t="s">
        <v>130</v>
      </c>
      <c r="B10" s="3" t="s">
        <v>131</v>
      </c>
      <c r="C10" s="3" t="s">
        <v>132</v>
      </c>
      <c r="D10" s="3" t="s">
        <v>133</v>
      </c>
      <c r="E10" s="3" t="s">
        <v>77</v>
      </c>
      <c r="F10" s="3" t="s">
        <v>78</v>
      </c>
      <c r="G10" s="3"/>
      <c r="H10" s="3"/>
      <c r="I10" s="3"/>
      <c r="J10" s="3" t="s">
        <v>79</v>
      </c>
      <c r="K10" s="3" t="s">
        <v>80</v>
      </c>
      <c r="L10" s="3" t="s">
        <v>81</v>
      </c>
      <c r="M10" s="3" t="s">
        <v>82</v>
      </c>
      <c r="N10" s="3" t="s">
        <v>83</v>
      </c>
      <c r="O10" s="3" t="s">
        <v>83</v>
      </c>
      <c r="P10" s="3" t="s">
        <v>83</v>
      </c>
      <c r="Q10" s="3" t="s">
        <v>83</v>
      </c>
      <c r="R10" s="3" t="s">
        <v>83</v>
      </c>
      <c r="S10" s="3" t="s">
        <v>83</v>
      </c>
      <c r="T10" s="3" t="s">
        <v>83</v>
      </c>
      <c r="U10" s="3" t="s">
        <v>84</v>
      </c>
      <c r="V10" s="3" t="s">
        <v>84</v>
      </c>
      <c r="W10" s="3" t="s">
        <v>85</v>
      </c>
      <c r="X10" s="3" t="s">
        <v>85</v>
      </c>
      <c r="Y10" s="3" t="s">
        <v>85</v>
      </c>
      <c r="Z10" s="3"/>
      <c r="AA10" s="3" t="s">
        <v>86</v>
      </c>
      <c r="AB10" s="3" t="s">
        <v>62</v>
      </c>
      <c r="AC10" s="3" t="s">
        <v>87</v>
      </c>
      <c r="AD10" s="3" t="s">
        <v>85</v>
      </c>
      <c r="AE10" s="3" t="s">
        <v>88</v>
      </c>
      <c r="AF10" s="3"/>
      <c r="AG10" s="3" t="s">
        <v>85</v>
      </c>
      <c r="AH10" s="3"/>
      <c r="AI10" s="3" t="s">
        <v>89</v>
      </c>
      <c r="AJ10" s="3" t="s">
        <v>134</v>
      </c>
      <c r="AK10" s="3" t="s">
        <v>91</v>
      </c>
      <c r="AL10" s="3" t="s">
        <v>92</v>
      </c>
    </row>
    <row r="11" spans="1:38" ht="85.05" customHeight="1" x14ac:dyDescent="0.3">
      <c r="A11" s="3" t="s">
        <v>135</v>
      </c>
      <c r="B11" s="3" t="s">
        <v>136</v>
      </c>
      <c r="C11" s="3" t="s">
        <v>137</v>
      </c>
      <c r="D11" s="3" t="s">
        <v>138</v>
      </c>
      <c r="E11" s="3" t="s">
        <v>97</v>
      </c>
      <c r="F11" s="3" t="s">
        <v>98</v>
      </c>
      <c r="G11" s="3"/>
      <c r="H11" s="3"/>
      <c r="I11" s="3"/>
      <c r="J11" s="3" t="s">
        <v>79</v>
      </c>
      <c r="K11" s="3" t="s">
        <v>80</v>
      </c>
      <c r="L11" s="3" t="s">
        <v>81</v>
      </c>
      <c r="M11" s="3" t="s">
        <v>82</v>
      </c>
      <c r="N11" s="3" t="s">
        <v>83</v>
      </c>
      <c r="O11" s="3" t="s">
        <v>83</v>
      </c>
      <c r="P11" s="3" t="s">
        <v>83</v>
      </c>
      <c r="Q11" s="3" t="s">
        <v>83</v>
      </c>
      <c r="R11" s="3" t="s">
        <v>83</v>
      </c>
      <c r="S11" s="3" t="s">
        <v>83</v>
      </c>
      <c r="T11" s="3" t="s">
        <v>83</v>
      </c>
      <c r="U11" s="3" t="s">
        <v>84</v>
      </c>
      <c r="V11" s="3" t="s">
        <v>84</v>
      </c>
      <c r="W11" s="3" t="s">
        <v>85</v>
      </c>
      <c r="X11" s="3" t="s">
        <v>85</v>
      </c>
      <c r="Y11" s="3" t="s">
        <v>85</v>
      </c>
      <c r="Z11" s="3"/>
      <c r="AA11" s="3" t="s">
        <v>86</v>
      </c>
      <c r="AB11" s="3" t="s">
        <v>62</v>
      </c>
      <c r="AC11" s="3" t="s">
        <v>87</v>
      </c>
      <c r="AD11" s="3" t="s">
        <v>85</v>
      </c>
      <c r="AE11" s="3" t="s">
        <v>88</v>
      </c>
      <c r="AF11" s="3"/>
      <c r="AG11" s="3" t="s">
        <v>85</v>
      </c>
      <c r="AH11" s="3"/>
      <c r="AI11" s="3" t="s">
        <v>89</v>
      </c>
      <c r="AJ11" s="3" t="s">
        <v>139</v>
      </c>
      <c r="AK11" s="3" t="s">
        <v>91</v>
      </c>
      <c r="AL11" s="3" t="s">
        <v>92</v>
      </c>
    </row>
    <row r="12" spans="1:38" ht="85.05" customHeight="1" x14ac:dyDescent="0.3">
      <c r="A12" s="3" t="s">
        <v>140</v>
      </c>
      <c r="B12" s="3" t="s">
        <v>141</v>
      </c>
      <c r="C12" s="3" t="s">
        <v>142</v>
      </c>
      <c r="D12" s="3" t="s">
        <v>143</v>
      </c>
      <c r="E12" s="3" t="s">
        <v>77</v>
      </c>
      <c r="F12" s="3" t="s">
        <v>78</v>
      </c>
      <c r="G12" s="3"/>
      <c r="H12" s="3"/>
      <c r="I12" s="3"/>
      <c r="J12" s="3" t="s">
        <v>79</v>
      </c>
      <c r="K12" s="3" t="s">
        <v>80</v>
      </c>
      <c r="L12" s="3" t="s">
        <v>81</v>
      </c>
      <c r="M12" s="3" t="s">
        <v>82</v>
      </c>
      <c r="N12" s="3" t="s">
        <v>83</v>
      </c>
      <c r="O12" s="3" t="s">
        <v>83</v>
      </c>
      <c r="P12" s="3" t="s">
        <v>83</v>
      </c>
      <c r="Q12" s="3" t="s">
        <v>83</v>
      </c>
      <c r="R12" s="3" t="s">
        <v>83</v>
      </c>
      <c r="S12" s="3" t="s">
        <v>83</v>
      </c>
      <c r="T12" s="3" t="s">
        <v>83</v>
      </c>
      <c r="U12" s="3" t="s">
        <v>84</v>
      </c>
      <c r="V12" s="3" t="s">
        <v>84</v>
      </c>
      <c r="W12" s="3" t="s">
        <v>85</v>
      </c>
      <c r="X12" s="3" t="s">
        <v>85</v>
      </c>
      <c r="Y12" s="3" t="s">
        <v>85</v>
      </c>
      <c r="Z12" s="3"/>
      <c r="AA12" s="3" t="s">
        <v>86</v>
      </c>
      <c r="AB12" s="3" t="s">
        <v>62</v>
      </c>
      <c r="AC12" s="3" t="s">
        <v>87</v>
      </c>
      <c r="AD12" s="3" t="s">
        <v>85</v>
      </c>
      <c r="AE12" s="3" t="s">
        <v>88</v>
      </c>
      <c r="AF12" s="3"/>
      <c r="AG12" s="3" t="s">
        <v>85</v>
      </c>
      <c r="AH12" s="3"/>
      <c r="AI12" s="3" t="s">
        <v>89</v>
      </c>
      <c r="AJ12" s="3" t="s">
        <v>144</v>
      </c>
      <c r="AK12" s="3" t="s">
        <v>91</v>
      </c>
      <c r="AL12" s="3" t="s">
        <v>92</v>
      </c>
    </row>
    <row r="13" spans="1:38" ht="85.05" customHeight="1" x14ac:dyDescent="0.3">
      <c r="A13" s="3" t="s">
        <v>145</v>
      </c>
      <c r="B13" s="3" t="s">
        <v>146</v>
      </c>
      <c r="C13" s="3" t="s">
        <v>147</v>
      </c>
      <c r="D13" s="3" t="s">
        <v>148</v>
      </c>
      <c r="E13" s="3" t="s">
        <v>97</v>
      </c>
      <c r="F13" s="3" t="s">
        <v>98</v>
      </c>
      <c r="G13" s="3"/>
      <c r="H13" s="3"/>
      <c r="I13" s="3"/>
      <c r="J13" s="3" t="s">
        <v>79</v>
      </c>
      <c r="K13" s="3" t="s">
        <v>80</v>
      </c>
      <c r="L13" s="3" t="s">
        <v>81</v>
      </c>
      <c r="M13" s="3" t="s">
        <v>82</v>
      </c>
      <c r="N13" s="3" t="s">
        <v>83</v>
      </c>
      <c r="O13" s="3" t="s">
        <v>83</v>
      </c>
      <c r="P13" s="3" t="s">
        <v>83</v>
      </c>
      <c r="Q13" s="3" t="s">
        <v>83</v>
      </c>
      <c r="R13" s="3" t="s">
        <v>83</v>
      </c>
      <c r="S13" s="3" t="s">
        <v>83</v>
      </c>
      <c r="T13" s="3" t="s">
        <v>83</v>
      </c>
      <c r="U13" s="3" t="s">
        <v>84</v>
      </c>
      <c r="V13" s="3" t="s">
        <v>84</v>
      </c>
      <c r="W13" s="3" t="s">
        <v>85</v>
      </c>
      <c r="X13" s="3" t="s">
        <v>85</v>
      </c>
      <c r="Y13" s="3" t="s">
        <v>85</v>
      </c>
      <c r="Z13" s="3"/>
      <c r="AA13" s="3" t="s">
        <v>86</v>
      </c>
      <c r="AB13" s="3" t="s">
        <v>62</v>
      </c>
      <c r="AC13" s="3" t="s">
        <v>87</v>
      </c>
      <c r="AD13" s="3" t="s">
        <v>85</v>
      </c>
      <c r="AE13" s="3" t="s">
        <v>88</v>
      </c>
      <c r="AF13" s="3"/>
      <c r="AG13" s="3" t="s">
        <v>85</v>
      </c>
      <c r="AH13" s="3"/>
      <c r="AI13" s="3" t="s">
        <v>89</v>
      </c>
      <c r="AJ13" s="3" t="s">
        <v>149</v>
      </c>
      <c r="AK13" s="3" t="s">
        <v>91</v>
      </c>
      <c r="AL13" s="3" t="s">
        <v>92</v>
      </c>
    </row>
    <row r="14" spans="1:38" ht="85.05" customHeight="1" x14ac:dyDescent="0.3">
      <c r="A14" s="3" t="s">
        <v>150</v>
      </c>
      <c r="B14" s="3" t="s">
        <v>151</v>
      </c>
      <c r="C14" s="3" t="s">
        <v>152</v>
      </c>
      <c r="D14" s="3" t="s">
        <v>153</v>
      </c>
      <c r="E14" s="3" t="s">
        <v>97</v>
      </c>
      <c r="F14" s="3" t="s">
        <v>98</v>
      </c>
      <c r="G14" s="3"/>
      <c r="H14" s="3"/>
      <c r="I14" s="3"/>
      <c r="J14" s="3" t="s">
        <v>79</v>
      </c>
      <c r="K14" s="3" t="s">
        <v>80</v>
      </c>
      <c r="L14" s="3" t="s">
        <v>81</v>
      </c>
      <c r="M14" s="3" t="s">
        <v>82</v>
      </c>
      <c r="N14" s="3" t="s">
        <v>83</v>
      </c>
      <c r="O14" s="3" t="s">
        <v>83</v>
      </c>
      <c r="P14" s="3" t="s">
        <v>83</v>
      </c>
      <c r="Q14" s="3" t="s">
        <v>83</v>
      </c>
      <c r="R14" s="3" t="s">
        <v>83</v>
      </c>
      <c r="S14" s="3" t="s">
        <v>83</v>
      </c>
      <c r="T14" s="3" t="s">
        <v>83</v>
      </c>
      <c r="U14" s="3" t="s">
        <v>84</v>
      </c>
      <c r="V14" s="3" t="s">
        <v>84</v>
      </c>
      <c r="W14" s="3" t="s">
        <v>85</v>
      </c>
      <c r="X14" s="3" t="s">
        <v>85</v>
      </c>
      <c r="Y14" s="3" t="s">
        <v>85</v>
      </c>
      <c r="Z14" s="3"/>
      <c r="AA14" s="3" t="s">
        <v>86</v>
      </c>
      <c r="AB14" s="3" t="s">
        <v>62</v>
      </c>
      <c r="AC14" s="3" t="s">
        <v>87</v>
      </c>
      <c r="AD14" s="3" t="s">
        <v>85</v>
      </c>
      <c r="AE14" s="3" t="s">
        <v>88</v>
      </c>
      <c r="AF14" s="3"/>
      <c r="AG14" s="3" t="s">
        <v>85</v>
      </c>
      <c r="AH14" s="3"/>
      <c r="AI14" s="3" t="s">
        <v>89</v>
      </c>
      <c r="AJ14" s="3" t="s">
        <v>154</v>
      </c>
      <c r="AK14" s="3" t="s">
        <v>91</v>
      </c>
      <c r="AL14" s="3" t="s">
        <v>92</v>
      </c>
    </row>
    <row r="15" spans="1:38" ht="85.05" customHeight="1" x14ac:dyDescent="0.3">
      <c r="A15" s="3" t="s">
        <v>155</v>
      </c>
      <c r="B15" s="3" t="s">
        <v>156</v>
      </c>
      <c r="C15" s="3" t="s">
        <v>157</v>
      </c>
      <c r="D15" s="3" t="s">
        <v>158</v>
      </c>
      <c r="E15" s="3" t="s">
        <v>77</v>
      </c>
      <c r="F15" s="3" t="s">
        <v>78</v>
      </c>
      <c r="G15" s="3"/>
      <c r="H15" s="3"/>
      <c r="I15" s="3"/>
      <c r="J15" s="3" t="s">
        <v>79</v>
      </c>
      <c r="K15" s="3" t="s">
        <v>80</v>
      </c>
      <c r="L15" s="3" t="s">
        <v>81</v>
      </c>
      <c r="M15" s="3" t="s">
        <v>82</v>
      </c>
      <c r="N15" s="3" t="s">
        <v>83</v>
      </c>
      <c r="O15" s="3" t="s">
        <v>83</v>
      </c>
      <c r="P15" s="3" t="s">
        <v>83</v>
      </c>
      <c r="Q15" s="3" t="s">
        <v>83</v>
      </c>
      <c r="R15" s="3" t="s">
        <v>83</v>
      </c>
      <c r="S15" s="3" t="s">
        <v>83</v>
      </c>
      <c r="T15" s="3" t="s">
        <v>83</v>
      </c>
      <c r="U15" s="3" t="s">
        <v>84</v>
      </c>
      <c r="V15" s="3" t="s">
        <v>84</v>
      </c>
      <c r="W15" s="3" t="s">
        <v>85</v>
      </c>
      <c r="X15" s="3" t="s">
        <v>85</v>
      </c>
      <c r="Y15" s="3" t="s">
        <v>85</v>
      </c>
      <c r="Z15" s="3"/>
      <c r="AA15" s="3" t="s">
        <v>86</v>
      </c>
      <c r="AB15" s="3" t="s">
        <v>62</v>
      </c>
      <c r="AC15" s="3" t="s">
        <v>87</v>
      </c>
      <c r="AD15" s="3" t="s">
        <v>85</v>
      </c>
      <c r="AE15" s="3" t="s">
        <v>88</v>
      </c>
      <c r="AF15" s="3"/>
      <c r="AG15" s="3" t="s">
        <v>85</v>
      </c>
      <c r="AH15" s="3"/>
      <c r="AI15" s="3" t="s">
        <v>89</v>
      </c>
      <c r="AJ15" s="3" t="s">
        <v>159</v>
      </c>
      <c r="AK15" s="3" t="s">
        <v>91</v>
      </c>
      <c r="AL15" s="3" t="s">
        <v>92</v>
      </c>
    </row>
    <row r="16" spans="1:38" ht="85.05" customHeight="1" x14ac:dyDescent="0.3">
      <c r="A16" s="3" t="s">
        <v>160</v>
      </c>
      <c r="B16" s="3" t="s">
        <v>161</v>
      </c>
      <c r="C16" s="3" t="s">
        <v>162</v>
      </c>
      <c r="D16" s="3" t="s">
        <v>163</v>
      </c>
      <c r="E16" s="3" t="s">
        <v>77</v>
      </c>
      <c r="F16" s="3" t="s">
        <v>78</v>
      </c>
      <c r="G16" s="3"/>
      <c r="H16" s="3"/>
      <c r="I16" s="3"/>
      <c r="J16" s="3" t="s">
        <v>79</v>
      </c>
      <c r="K16" s="3" t="s">
        <v>80</v>
      </c>
      <c r="L16" s="3" t="s">
        <v>81</v>
      </c>
      <c r="M16" s="3" t="s">
        <v>82</v>
      </c>
      <c r="N16" s="3" t="s">
        <v>83</v>
      </c>
      <c r="O16" s="3" t="s">
        <v>83</v>
      </c>
      <c r="P16" s="3" t="s">
        <v>83</v>
      </c>
      <c r="Q16" s="3" t="s">
        <v>83</v>
      </c>
      <c r="R16" s="3" t="s">
        <v>83</v>
      </c>
      <c r="S16" s="3" t="s">
        <v>83</v>
      </c>
      <c r="T16" s="3" t="s">
        <v>83</v>
      </c>
      <c r="U16" s="3" t="s">
        <v>84</v>
      </c>
      <c r="V16" s="3" t="s">
        <v>84</v>
      </c>
      <c r="W16" s="3" t="s">
        <v>85</v>
      </c>
      <c r="X16" s="3" t="s">
        <v>85</v>
      </c>
      <c r="Y16" s="3" t="s">
        <v>85</v>
      </c>
      <c r="Z16" s="3"/>
      <c r="AA16" s="3" t="s">
        <v>86</v>
      </c>
      <c r="AB16" s="3" t="s">
        <v>62</v>
      </c>
      <c r="AC16" s="3" t="s">
        <v>87</v>
      </c>
      <c r="AD16" s="3" t="s">
        <v>85</v>
      </c>
      <c r="AE16" s="3" t="s">
        <v>88</v>
      </c>
      <c r="AF16" s="3"/>
      <c r="AG16" s="3" t="s">
        <v>85</v>
      </c>
      <c r="AH16" s="3"/>
      <c r="AI16" s="3" t="s">
        <v>89</v>
      </c>
      <c r="AJ16" s="3" t="s">
        <v>164</v>
      </c>
      <c r="AK16" s="3" t="s">
        <v>91</v>
      </c>
      <c r="AL16" s="3" t="s">
        <v>92</v>
      </c>
    </row>
    <row r="17" spans="1:38" ht="85.05" customHeight="1" x14ac:dyDescent="0.3">
      <c r="A17" s="3" t="s">
        <v>165</v>
      </c>
      <c r="B17" s="3" t="s">
        <v>166</v>
      </c>
      <c r="C17" s="3" t="s">
        <v>167</v>
      </c>
      <c r="D17" s="3" t="s">
        <v>168</v>
      </c>
      <c r="E17" s="3" t="s">
        <v>169</v>
      </c>
      <c r="F17" s="3" t="s">
        <v>170</v>
      </c>
      <c r="G17" s="3"/>
      <c r="H17" s="3"/>
      <c r="I17" s="3"/>
      <c r="J17" s="3" t="s">
        <v>79</v>
      </c>
      <c r="K17" s="3" t="s">
        <v>80</v>
      </c>
      <c r="L17" s="3" t="s">
        <v>81</v>
      </c>
      <c r="M17" s="3" t="s">
        <v>82</v>
      </c>
      <c r="N17" s="3" t="s">
        <v>83</v>
      </c>
      <c r="O17" s="3" t="s">
        <v>83</v>
      </c>
      <c r="P17" s="3" t="s">
        <v>83</v>
      </c>
      <c r="Q17" s="3" t="s">
        <v>83</v>
      </c>
      <c r="R17" s="3" t="s">
        <v>83</v>
      </c>
      <c r="S17" s="3" t="s">
        <v>83</v>
      </c>
      <c r="T17" s="3" t="s">
        <v>83</v>
      </c>
      <c r="U17" s="3" t="s">
        <v>84</v>
      </c>
      <c r="V17" s="3" t="s">
        <v>84</v>
      </c>
      <c r="W17" s="3" t="s">
        <v>85</v>
      </c>
      <c r="X17" s="3" t="s">
        <v>85</v>
      </c>
      <c r="Y17" s="3" t="s">
        <v>85</v>
      </c>
      <c r="Z17" s="3"/>
      <c r="AA17" s="3" t="s">
        <v>86</v>
      </c>
      <c r="AB17" s="3" t="s">
        <v>62</v>
      </c>
      <c r="AC17" s="3" t="s">
        <v>87</v>
      </c>
      <c r="AD17" s="3" t="s">
        <v>85</v>
      </c>
      <c r="AE17" s="3" t="s">
        <v>88</v>
      </c>
      <c r="AF17" s="3"/>
      <c r="AG17" s="3" t="s">
        <v>85</v>
      </c>
      <c r="AH17" s="3"/>
      <c r="AI17" s="3" t="s">
        <v>89</v>
      </c>
      <c r="AJ17" s="3" t="s">
        <v>171</v>
      </c>
      <c r="AK17" s="3" t="s">
        <v>91</v>
      </c>
      <c r="AL17" s="3" t="s">
        <v>92</v>
      </c>
    </row>
    <row r="18" spans="1:38" ht="85.05" customHeight="1" x14ac:dyDescent="0.3">
      <c r="A18" s="3" t="s">
        <v>172</v>
      </c>
      <c r="B18" s="3" t="s">
        <v>173</v>
      </c>
      <c r="C18" s="3" t="s">
        <v>174</v>
      </c>
      <c r="D18" s="3" t="s">
        <v>175</v>
      </c>
      <c r="E18" s="3" t="s">
        <v>97</v>
      </c>
      <c r="F18" s="3" t="s">
        <v>98</v>
      </c>
      <c r="G18" s="3"/>
      <c r="H18" s="3"/>
      <c r="I18" s="3"/>
      <c r="J18" s="3" t="s">
        <v>79</v>
      </c>
      <c r="K18" s="3" t="s">
        <v>80</v>
      </c>
      <c r="L18" s="3" t="s">
        <v>81</v>
      </c>
      <c r="M18" s="3" t="s">
        <v>82</v>
      </c>
      <c r="N18" s="3" t="s">
        <v>83</v>
      </c>
      <c r="O18" s="3" t="s">
        <v>83</v>
      </c>
      <c r="P18" s="3" t="s">
        <v>83</v>
      </c>
      <c r="Q18" s="3" t="s">
        <v>83</v>
      </c>
      <c r="R18" s="3" t="s">
        <v>83</v>
      </c>
      <c r="S18" s="3" t="s">
        <v>83</v>
      </c>
      <c r="T18" s="3" t="s">
        <v>83</v>
      </c>
      <c r="U18" s="3" t="s">
        <v>84</v>
      </c>
      <c r="V18" s="3" t="s">
        <v>84</v>
      </c>
      <c r="W18" s="3" t="s">
        <v>85</v>
      </c>
      <c r="X18" s="3" t="s">
        <v>85</v>
      </c>
      <c r="Y18" s="3" t="s">
        <v>85</v>
      </c>
      <c r="Z18" s="3"/>
      <c r="AA18" s="3" t="s">
        <v>86</v>
      </c>
      <c r="AB18" s="3" t="s">
        <v>62</v>
      </c>
      <c r="AC18" s="3" t="s">
        <v>87</v>
      </c>
      <c r="AD18" s="3" t="s">
        <v>85</v>
      </c>
      <c r="AE18" s="3" t="s">
        <v>88</v>
      </c>
      <c r="AF18" s="3"/>
      <c r="AG18" s="3" t="s">
        <v>85</v>
      </c>
      <c r="AH18" s="3"/>
      <c r="AI18" s="3" t="s">
        <v>89</v>
      </c>
      <c r="AJ18" s="3" t="s">
        <v>176</v>
      </c>
      <c r="AK18" s="3" t="s">
        <v>91</v>
      </c>
      <c r="AL18" s="3" t="s">
        <v>92</v>
      </c>
    </row>
    <row r="19" spans="1:38" ht="85.05" customHeight="1" x14ac:dyDescent="0.3">
      <c r="A19" s="3" t="s">
        <v>177</v>
      </c>
      <c r="B19" s="3" t="s">
        <v>178</v>
      </c>
      <c r="C19" s="3" t="s">
        <v>179</v>
      </c>
      <c r="D19" s="3" t="s">
        <v>180</v>
      </c>
      <c r="E19" s="3" t="s">
        <v>169</v>
      </c>
      <c r="F19" s="3" t="s">
        <v>170</v>
      </c>
      <c r="G19" s="3"/>
      <c r="H19" s="3"/>
      <c r="I19" s="3"/>
      <c r="J19" s="3" t="s">
        <v>79</v>
      </c>
      <c r="K19" s="3" t="s">
        <v>80</v>
      </c>
      <c r="L19" s="3" t="s">
        <v>81</v>
      </c>
      <c r="M19" s="3" t="s">
        <v>82</v>
      </c>
      <c r="N19" s="3" t="s">
        <v>83</v>
      </c>
      <c r="O19" s="3" t="s">
        <v>83</v>
      </c>
      <c r="P19" s="3" t="s">
        <v>83</v>
      </c>
      <c r="Q19" s="3" t="s">
        <v>83</v>
      </c>
      <c r="R19" s="3" t="s">
        <v>83</v>
      </c>
      <c r="S19" s="3" t="s">
        <v>83</v>
      </c>
      <c r="T19" s="3" t="s">
        <v>83</v>
      </c>
      <c r="U19" s="3" t="s">
        <v>84</v>
      </c>
      <c r="V19" s="3" t="s">
        <v>84</v>
      </c>
      <c r="W19" s="3" t="s">
        <v>85</v>
      </c>
      <c r="X19" s="3" t="s">
        <v>85</v>
      </c>
      <c r="Y19" s="3" t="s">
        <v>85</v>
      </c>
      <c r="Z19" s="3"/>
      <c r="AA19" s="3" t="s">
        <v>86</v>
      </c>
      <c r="AB19" s="3" t="s">
        <v>62</v>
      </c>
      <c r="AC19" s="3" t="s">
        <v>87</v>
      </c>
      <c r="AD19" s="3" t="s">
        <v>85</v>
      </c>
      <c r="AE19" s="3" t="s">
        <v>88</v>
      </c>
      <c r="AF19" s="3"/>
      <c r="AG19" s="3" t="s">
        <v>85</v>
      </c>
      <c r="AH19" s="3"/>
      <c r="AI19" s="3" t="s">
        <v>89</v>
      </c>
      <c r="AJ19" s="3" t="s">
        <v>181</v>
      </c>
      <c r="AK19" s="3" t="s">
        <v>91</v>
      </c>
      <c r="AL19" s="3" t="s">
        <v>92</v>
      </c>
    </row>
    <row r="20" spans="1:38" ht="85.05" customHeight="1" x14ac:dyDescent="0.3">
      <c r="A20" s="3" t="s">
        <v>182</v>
      </c>
      <c r="B20" s="3" t="s">
        <v>183</v>
      </c>
      <c r="C20" s="3" t="s">
        <v>184</v>
      </c>
      <c r="D20" s="3" t="s">
        <v>185</v>
      </c>
      <c r="E20" s="3" t="s">
        <v>169</v>
      </c>
      <c r="F20" s="3" t="s">
        <v>170</v>
      </c>
      <c r="G20" s="3"/>
      <c r="H20" s="3"/>
      <c r="I20" s="3"/>
      <c r="J20" s="3" t="s">
        <v>79</v>
      </c>
      <c r="K20" s="3" t="s">
        <v>80</v>
      </c>
      <c r="L20" s="3" t="s">
        <v>81</v>
      </c>
      <c r="M20" s="3" t="s">
        <v>82</v>
      </c>
      <c r="N20" s="3" t="s">
        <v>83</v>
      </c>
      <c r="O20" s="3" t="s">
        <v>83</v>
      </c>
      <c r="P20" s="3" t="s">
        <v>83</v>
      </c>
      <c r="Q20" s="3" t="s">
        <v>83</v>
      </c>
      <c r="R20" s="3" t="s">
        <v>83</v>
      </c>
      <c r="S20" s="3" t="s">
        <v>83</v>
      </c>
      <c r="T20" s="3" t="s">
        <v>83</v>
      </c>
      <c r="U20" s="3" t="s">
        <v>84</v>
      </c>
      <c r="V20" s="3" t="s">
        <v>84</v>
      </c>
      <c r="W20" s="3" t="s">
        <v>85</v>
      </c>
      <c r="X20" s="3" t="s">
        <v>85</v>
      </c>
      <c r="Y20" s="3" t="s">
        <v>85</v>
      </c>
      <c r="Z20" s="3"/>
      <c r="AA20" s="3" t="s">
        <v>86</v>
      </c>
      <c r="AB20" s="3" t="s">
        <v>62</v>
      </c>
      <c r="AC20" s="3" t="s">
        <v>87</v>
      </c>
      <c r="AD20" s="3" t="s">
        <v>85</v>
      </c>
      <c r="AE20" s="3" t="s">
        <v>88</v>
      </c>
      <c r="AF20" s="3"/>
      <c r="AG20" s="3" t="s">
        <v>85</v>
      </c>
      <c r="AH20" s="3"/>
      <c r="AI20" s="3" t="s">
        <v>89</v>
      </c>
      <c r="AJ20" s="3" t="s">
        <v>186</v>
      </c>
      <c r="AK20" s="3" t="s">
        <v>91</v>
      </c>
      <c r="AL20" s="3" t="s">
        <v>92</v>
      </c>
    </row>
    <row r="21" spans="1:38" ht="85.05" customHeight="1" x14ac:dyDescent="0.3">
      <c r="A21" s="3" t="s">
        <v>187</v>
      </c>
      <c r="B21" s="3" t="s">
        <v>188</v>
      </c>
      <c r="C21" s="3" t="s">
        <v>189</v>
      </c>
      <c r="D21" s="3" t="s">
        <v>190</v>
      </c>
      <c r="E21" s="3" t="s">
        <v>169</v>
      </c>
      <c r="F21" s="3" t="s">
        <v>170</v>
      </c>
      <c r="G21" s="3"/>
      <c r="H21" s="3"/>
      <c r="I21" s="3"/>
      <c r="J21" s="3" t="s">
        <v>79</v>
      </c>
      <c r="K21" s="3" t="s">
        <v>80</v>
      </c>
      <c r="L21" s="3" t="s">
        <v>81</v>
      </c>
      <c r="M21" s="3" t="s">
        <v>82</v>
      </c>
      <c r="N21" s="3" t="s">
        <v>83</v>
      </c>
      <c r="O21" s="3" t="s">
        <v>83</v>
      </c>
      <c r="P21" s="3" t="s">
        <v>83</v>
      </c>
      <c r="Q21" s="3" t="s">
        <v>83</v>
      </c>
      <c r="R21" s="3" t="s">
        <v>83</v>
      </c>
      <c r="S21" s="3" t="s">
        <v>83</v>
      </c>
      <c r="T21" s="3" t="s">
        <v>83</v>
      </c>
      <c r="U21" s="3" t="s">
        <v>84</v>
      </c>
      <c r="V21" s="3" t="s">
        <v>84</v>
      </c>
      <c r="W21" s="3" t="s">
        <v>85</v>
      </c>
      <c r="X21" s="3" t="s">
        <v>85</v>
      </c>
      <c r="Y21" s="3" t="s">
        <v>85</v>
      </c>
      <c r="Z21" s="3"/>
      <c r="AA21" s="3" t="s">
        <v>86</v>
      </c>
      <c r="AB21" s="3" t="s">
        <v>62</v>
      </c>
      <c r="AC21" s="3" t="s">
        <v>87</v>
      </c>
      <c r="AD21" s="3" t="s">
        <v>85</v>
      </c>
      <c r="AE21" s="3" t="s">
        <v>88</v>
      </c>
      <c r="AF21" s="3"/>
      <c r="AG21" s="3" t="s">
        <v>85</v>
      </c>
      <c r="AH21" s="3"/>
      <c r="AI21" s="3" t="s">
        <v>89</v>
      </c>
      <c r="AJ21" s="3" t="s">
        <v>191</v>
      </c>
      <c r="AK21" s="3" t="s">
        <v>91</v>
      </c>
      <c r="AL21" s="3" t="s">
        <v>92</v>
      </c>
    </row>
    <row r="22" spans="1:38" ht="85.05" customHeight="1" x14ac:dyDescent="0.3">
      <c r="A22" s="3" t="s">
        <v>192</v>
      </c>
      <c r="B22" s="3" t="s">
        <v>193</v>
      </c>
      <c r="C22" s="3" t="s">
        <v>194</v>
      </c>
      <c r="D22" s="3" t="s">
        <v>195</v>
      </c>
      <c r="E22" s="3" t="s">
        <v>169</v>
      </c>
      <c r="F22" s="3" t="s">
        <v>170</v>
      </c>
      <c r="G22" s="3"/>
      <c r="H22" s="3"/>
      <c r="I22" s="3"/>
      <c r="J22" s="3" t="s">
        <v>79</v>
      </c>
      <c r="K22" s="3" t="s">
        <v>80</v>
      </c>
      <c r="L22" s="3" t="s">
        <v>81</v>
      </c>
      <c r="M22" s="3" t="s">
        <v>82</v>
      </c>
      <c r="N22" s="3" t="s">
        <v>83</v>
      </c>
      <c r="O22" s="3" t="s">
        <v>83</v>
      </c>
      <c r="P22" s="3" t="s">
        <v>83</v>
      </c>
      <c r="Q22" s="3" t="s">
        <v>83</v>
      </c>
      <c r="R22" s="3" t="s">
        <v>83</v>
      </c>
      <c r="S22" s="3" t="s">
        <v>83</v>
      </c>
      <c r="T22" s="3" t="s">
        <v>83</v>
      </c>
      <c r="U22" s="3" t="s">
        <v>84</v>
      </c>
      <c r="V22" s="3" t="s">
        <v>84</v>
      </c>
      <c r="W22" s="3" t="s">
        <v>85</v>
      </c>
      <c r="X22" s="3" t="s">
        <v>85</v>
      </c>
      <c r="Y22" s="3" t="s">
        <v>85</v>
      </c>
      <c r="Z22" s="3"/>
      <c r="AA22" s="3" t="s">
        <v>86</v>
      </c>
      <c r="AB22" s="3" t="s">
        <v>62</v>
      </c>
      <c r="AC22" s="3" t="s">
        <v>87</v>
      </c>
      <c r="AD22" s="3" t="s">
        <v>85</v>
      </c>
      <c r="AE22" s="3" t="s">
        <v>88</v>
      </c>
      <c r="AF22" s="3"/>
      <c r="AG22" s="3" t="s">
        <v>85</v>
      </c>
      <c r="AH22" s="3"/>
      <c r="AI22" s="3" t="s">
        <v>89</v>
      </c>
      <c r="AJ22" s="3" t="s">
        <v>196</v>
      </c>
      <c r="AK22" s="3" t="s">
        <v>91</v>
      </c>
      <c r="AL22" s="3" t="s">
        <v>92</v>
      </c>
    </row>
    <row r="23" spans="1:38" ht="85.05" customHeight="1" x14ac:dyDescent="0.3">
      <c r="A23" s="3" t="s">
        <v>197</v>
      </c>
      <c r="B23" s="3" t="s">
        <v>198</v>
      </c>
      <c r="C23" s="3" t="s">
        <v>199</v>
      </c>
      <c r="D23" s="3" t="s">
        <v>200</v>
      </c>
      <c r="E23" s="3" t="s">
        <v>169</v>
      </c>
      <c r="F23" s="3" t="s">
        <v>170</v>
      </c>
      <c r="G23" s="3"/>
      <c r="H23" s="3"/>
      <c r="I23" s="3"/>
      <c r="J23" s="3" t="s">
        <v>79</v>
      </c>
      <c r="K23" s="3" t="s">
        <v>80</v>
      </c>
      <c r="L23" s="3" t="s">
        <v>81</v>
      </c>
      <c r="M23" s="3" t="s">
        <v>82</v>
      </c>
      <c r="N23" s="3" t="s">
        <v>83</v>
      </c>
      <c r="O23" s="3" t="s">
        <v>83</v>
      </c>
      <c r="P23" s="3" t="s">
        <v>83</v>
      </c>
      <c r="Q23" s="3" t="s">
        <v>83</v>
      </c>
      <c r="R23" s="3" t="s">
        <v>83</v>
      </c>
      <c r="S23" s="3" t="s">
        <v>83</v>
      </c>
      <c r="T23" s="3" t="s">
        <v>83</v>
      </c>
      <c r="U23" s="3" t="s">
        <v>84</v>
      </c>
      <c r="V23" s="3" t="s">
        <v>84</v>
      </c>
      <c r="W23" s="3" t="s">
        <v>85</v>
      </c>
      <c r="X23" s="3" t="s">
        <v>85</v>
      </c>
      <c r="Y23" s="3" t="s">
        <v>85</v>
      </c>
      <c r="Z23" s="3"/>
      <c r="AA23" s="3" t="s">
        <v>86</v>
      </c>
      <c r="AB23" s="3" t="s">
        <v>62</v>
      </c>
      <c r="AC23" s="3" t="s">
        <v>87</v>
      </c>
      <c r="AD23" s="3" t="s">
        <v>85</v>
      </c>
      <c r="AE23" s="3" t="s">
        <v>88</v>
      </c>
      <c r="AF23" s="3"/>
      <c r="AG23" s="3" t="s">
        <v>85</v>
      </c>
      <c r="AH23" s="3"/>
      <c r="AI23" s="3" t="s">
        <v>89</v>
      </c>
      <c r="AJ23" s="3" t="s">
        <v>201</v>
      </c>
      <c r="AK23" s="3" t="s">
        <v>91</v>
      </c>
      <c r="AL23" s="3" t="s">
        <v>92</v>
      </c>
    </row>
    <row r="24" spans="1:38" ht="85.05" customHeight="1" x14ac:dyDescent="0.3">
      <c r="A24" s="3" t="s">
        <v>202</v>
      </c>
      <c r="B24" s="3" t="s">
        <v>203</v>
      </c>
      <c r="C24" s="3" t="s">
        <v>204</v>
      </c>
      <c r="D24" s="3" t="s">
        <v>205</v>
      </c>
      <c r="E24" s="3" t="s">
        <v>97</v>
      </c>
      <c r="F24" s="3" t="s">
        <v>98</v>
      </c>
      <c r="G24" s="3"/>
      <c r="H24" s="3"/>
      <c r="I24" s="3"/>
      <c r="J24" s="3" t="s">
        <v>79</v>
      </c>
      <c r="K24" s="3" t="s">
        <v>80</v>
      </c>
      <c r="L24" s="3" t="s">
        <v>81</v>
      </c>
      <c r="M24" s="3" t="s">
        <v>82</v>
      </c>
      <c r="N24" s="3" t="s">
        <v>83</v>
      </c>
      <c r="O24" s="3" t="s">
        <v>83</v>
      </c>
      <c r="P24" s="3" t="s">
        <v>83</v>
      </c>
      <c r="Q24" s="3" t="s">
        <v>83</v>
      </c>
      <c r="R24" s="3" t="s">
        <v>83</v>
      </c>
      <c r="S24" s="3" t="s">
        <v>83</v>
      </c>
      <c r="T24" s="3" t="s">
        <v>83</v>
      </c>
      <c r="U24" s="3" t="s">
        <v>84</v>
      </c>
      <c r="V24" s="3" t="s">
        <v>84</v>
      </c>
      <c r="W24" s="3" t="s">
        <v>85</v>
      </c>
      <c r="X24" s="3" t="s">
        <v>85</v>
      </c>
      <c r="Y24" s="3" t="s">
        <v>85</v>
      </c>
      <c r="Z24" s="3"/>
      <c r="AA24" s="3" t="s">
        <v>86</v>
      </c>
      <c r="AB24" s="3" t="s">
        <v>62</v>
      </c>
      <c r="AC24" s="3" t="s">
        <v>87</v>
      </c>
      <c r="AD24" s="3" t="s">
        <v>85</v>
      </c>
      <c r="AE24" s="3" t="s">
        <v>88</v>
      </c>
      <c r="AF24" s="3"/>
      <c r="AG24" s="3" t="s">
        <v>85</v>
      </c>
      <c r="AH24" s="3"/>
      <c r="AI24" s="3" t="s">
        <v>89</v>
      </c>
      <c r="AJ24" s="3" t="s">
        <v>206</v>
      </c>
      <c r="AK24" s="3" t="s">
        <v>91</v>
      </c>
      <c r="AL24" s="3" t="s">
        <v>92</v>
      </c>
    </row>
    <row r="25" spans="1:38" ht="85.05" customHeight="1" x14ac:dyDescent="0.3">
      <c r="A25" s="3" t="s">
        <v>207</v>
      </c>
      <c r="B25" s="3" t="s">
        <v>208</v>
      </c>
      <c r="C25" s="3" t="s">
        <v>209</v>
      </c>
      <c r="D25" s="3" t="s">
        <v>210</v>
      </c>
      <c r="E25" s="3" t="s">
        <v>97</v>
      </c>
      <c r="F25" s="3" t="s">
        <v>98</v>
      </c>
      <c r="G25" s="3"/>
      <c r="H25" s="3"/>
      <c r="I25" s="3"/>
      <c r="J25" s="3" t="s">
        <v>79</v>
      </c>
      <c r="K25" s="3" t="s">
        <v>80</v>
      </c>
      <c r="L25" s="3" t="s">
        <v>81</v>
      </c>
      <c r="M25" s="3" t="s">
        <v>82</v>
      </c>
      <c r="N25" s="3" t="s">
        <v>83</v>
      </c>
      <c r="O25" s="3" t="s">
        <v>83</v>
      </c>
      <c r="P25" s="3" t="s">
        <v>83</v>
      </c>
      <c r="Q25" s="3" t="s">
        <v>83</v>
      </c>
      <c r="R25" s="3" t="s">
        <v>83</v>
      </c>
      <c r="S25" s="3" t="s">
        <v>83</v>
      </c>
      <c r="T25" s="3" t="s">
        <v>83</v>
      </c>
      <c r="U25" s="3" t="s">
        <v>84</v>
      </c>
      <c r="V25" s="3" t="s">
        <v>84</v>
      </c>
      <c r="W25" s="3" t="s">
        <v>85</v>
      </c>
      <c r="X25" s="3" t="s">
        <v>85</v>
      </c>
      <c r="Y25" s="3" t="s">
        <v>85</v>
      </c>
      <c r="Z25" s="3"/>
      <c r="AA25" s="3" t="s">
        <v>86</v>
      </c>
      <c r="AB25" s="3" t="s">
        <v>62</v>
      </c>
      <c r="AC25" s="3" t="s">
        <v>87</v>
      </c>
      <c r="AD25" s="3" t="s">
        <v>85</v>
      </c>
      <c r="AE25" s="3" t="s">
        <v>88</v>
      </c>
      <c r="AF25" s="3"/>
      <c r="AG25" s="3" t="s">
        <v>85</v>
      </c>
      <c r="AH25" s="3"/>
      <c r="AI25" s="3" t="s">
        <v>89</v>
      </c>
      <c r="AJ25" s="3" t="s">
        <v>211</v>
      </c>
      <c r="AK25" s="3" t="s">
        <v>91</v>
      </c>
      <c r="AL25" s="3" t="s">
        <v>92</v>
      </c>
    </row>
    <row r="26" spans="1:38" ht="85.05" customHeight="1" x14ac:dyDescent="0.3">
      <c r="A26" s="3" t="s">
        <v>212</v>
      </c>
      <c r="B26" s="3" t="s">
        <v>213</v>
      </c>
      <c r="C26" s="3" t="s">
        <v>214</v>
      </c>
      <c r="D26" s="3" t="s">
        <v>215</v>
      </c>
      <c r="E26" s="3" t="s">
        <v>169</v>
      </c>
      <c r="F26" s="3" t="s">
        <v>170</v>
      </c>
      <c r="G26" s="3"/>
      <c r="H26" s="3"/>
      <c r="I26" s="3"/>
      <c r="J26" s="3" t="s">
        <v>79</v>
      </c>
      <c r="K26" s="3" t="s">
        <v>80</v>
      </c>
      <c r="L26" s="3" t="s">
        <v>81</v>
      </c>
      <c r="M26" s="3" t="s">
        <v>82</v>
      </c>
      <c r="N26" s="3" t="s">
        <v>83</v>
      </c>
      <c r="O26" s="3" t="s">
        <v>83</v>
      </c>
      <c r="P26" s="3" t="s">
        <v>83</v>
      </c>
      <c r="Q26" s="3" t="s">
        <v>83</v>
      </c>
      <c r="R26" s="3" t="s">
        <v>83</v>
      </c>
      <c r="S26" s="3" t="s">
        <v>83</v>
      </c>
      <c r="T26" s="3" t="s">
        <v>83</v>
      </c>
      <c r="U26" s="3" t="s">
        <v>84</v>
      </c>
      <c r="V26" s="3" t="s">
        <v>84</v>
      </c>
      <c r="W26" s="3" t="s">
        <v>85</v>
      </c>
      <c r="X26" s="3" t="s">
        <v>85</v>
      </c>
      <c r="Y26" s="3" t="s">
        <v>85</v>
      </c>
      <c r="Z26" s="3"/>
      <c r="AA26" s="3" t="s">
        <v>86</v>
      </c>
      <c r="AB26" s="3" t="s">
        <v>62</v>
      </c>
      <c r="AC26" s="3" t="s">
        <v>87</v>
      </c>
      <c r="AD26" s="3" t="s">
        <v>85</v>
      </c>
      <c r="AE26" s="3" t="s">
        <v>88</v>
      </c>
      <c r="AF26" s="3"/>
      <c r="AG26" s="3" t="s">
        <v>85</v>
      </c>
      <c r="AH26" s="3"/>
      <c r="AI26" s="3" t="s">
        <v>89</v>
      </c>
      <c r="AJ26" s="3" t="s">
        <v>216</v>
      </c>
      <c r="AK26" s="3" t="s">
        <v>91</v>
      </c>
      <c r="AL26" s="3" t="s">
        <v>92</v>
      </c>
    </row>
    <row r="27" spans="1:38" ht="85.05" customHeight="1" x14ac:dyDescent="0.3">
      <c r="A27" s="3" t="s">
        <v>217</v>
      </c>
      <c r="B27" s="3" t="s">
        <v>218</v>
      </c>
      <c r="C27" s="3" t="s">
        <v>219</v>
      </c>
      <c r="D27" s="3" t="s">
        <v>220</v>
      </c>
      <c r="E27" s="3" t="s">
        <v>97</v>
      </c>
      <c r="F27" s="3" t="s">
        <v>98</v>
      </c>
      <c r="G27" s="3"/>
      <c r="H27" s="3"/>
      <c r="I27" s="3"/>
      <c r="J27" s="3" t="s">
        <v>79</v>
      </c>
      <c r="K27" s="3" t="s">
        <v>80</v>
      </c>
      <c r="L27" s="3" t="s">
        <v>81</v>
      </c>
      <c r="M27" s="3" t="s">
        <v>82</v>
      </c>
      <c r="N27" s="3" t="s">
        <v>83</v>
      </c>
      <c r="O27" s="3" t="s">
        <v>83</v>
      </c>
      <c r="P27" s="3" t="s">
        <v>83</v>
      </c>
      <c r="Q27" s="3" t="s">
        <v>83</v>
      </c>
      <c r="R27" s="3" t="s">
        <v>83</v>
      </c>
      <c r="S27" s="3" t="s">
        <v>83</v>
      </c>
      <c r="T27" s="3" t="s">
        <v>83</v>
      </c>
      <c r="U27" s="3" t="s">
        <v>84</v>
      </c>
      <c r="V27" s="3" t="s">
        <v>84</v>
      </c>
      <c r="W27" s="3" t="s">
        <v>85</v>
      </c>
      <c r="X27" s="3" t="s">
        <v>85</v>
      </c>
      <c r="Y27" s="3" t="s">
        <v>85</v>
      </c>
      <c r="Z27" s="3"/>
      <c r="AA27" s="3" t="s">
        <v>86</v>
      </c>
      <c r="AB27" s="3" t="s">
        <v>62</v>
      </c>
      <c r="AC27" s="3" t="s">
        <v>87</v>
      </c>
      <c r="AD27" s="3" t="s">
        <v>85</v>
      </c>
      <c r="AE27" s="3" t="s">
        <v>88</v>
      </c>
      <c r="AF27" s="3"/>
      <c r="AG27" s="3" t="s">
        <v>85</v>
      </c>
      <c r="AH27" s="3"/>
      <c r="AI27" s="3" t="s">
        <v>89</v>
      </c>
      <c r="AJ27" s="3" t="s">
        <v>221</v>
      </c>
      <c r="AK27" s="3" t="s">
        <v>91</v>
      </c>
      <c r="AL27" s="3" t="s">
        <v>92</v>
      </c>
    </row>
    <row r="28" spans="1:38" ht="85.05" customHeight="1" x14ac:dyDescent="0.3">
      <c r="A28" s="3" t="s">
        <v>222</v>
      </c>
      <c r="B28" s="3" t="s">
        <v>223</v>
      </c>
      <c r="C28" s="3" t="s">
        <v>224</v>
      </c>
      <c r="D28" s="3" t="s">
        <v>225</v>
      </c>
      <c r="E28" s="3" t="s">
        <v>169</v>
      </c>
      <c r="F28" s="3" t="s">
        <v>170</v>
      </c>
      <c r="G28" s="3"/>
      <c r="H28" s="3"/>
      <c r="I28" s="3"/>
      <c r="J28" s="3" t="s">
        <v>79</v>
      </c>
      <c r="K28" s="3" t="s">
        <v>80</v>
      </c>
      <c r="L28" s="3" t="s">
        <v>81</v>
      </c>
      <c r="M28" s="3" t="s">
        <v>82</v>
      </c>
      <c r="N28" s="3" t="s">
        <v>83</v>
      </c>
      <c r="O28" s="3" t="s">
        <v>83</v>
      </c>
      <c r="P28" s="3" t="s">
        <v>83</v>
      </c>
      <c r="Q28" s="3" t="s">
        <v>83</v>
      </c>
      <c r="R28" s="3" t="s">
        <v>83</v>
      </c>
      <c r="S28" s="3" t="s">
        <v>83</v>
      </c>
      <c r="T28" s="3" t="s">
        <v>83</v>
      </c>
      <c r="U28" s="3" t="s">
        <v>84</v>
      </c>
      <c r="V28" s="3" t="s">
        <v>84</v>
      </c>
      <c r="W28" s="3" t="s">
        <v>85</v>
      </c>
      <c r="X28" s="3" t="s">
        <v>85</v>
      </c>
      <c r="Y28" s="3" t="s">
        <v>85</v>
      </c>
      <c r="Z28" s="3"/>
      <c r="AA28" s="3" t="s">
        <v>86</v>
      </c>
      <c r="AB28" s="3" t="s">
        <v>62</v>
      </c>
      <c r="AC28" s="3" t="s">
        <v>87</v>
      </c>
      <c r="AD28" s="3" t="s">
        <v>85</v>
      </c>
      <c r="AE28" s="3" t="s">
        <v>88</v>
      </c>
      <c r="AF28" s="3"/>
      <c r="AG28" s="3" t="s">
        <v>85</v>
      </c>
      <c r="AH28" s="3"/>
      <c r="AI28" s="3" t="s">
        <v>89</v>
      </c>
      <c r="AJ28" s="3" t="s">
        <v>226</v>
      </c>
      <c r="AK28" s="3" t="s">
        <v>91</v>
      </c>
      <c r="AL28" s="3" t="s">
        <v>92</v>
      </c>
    </row>
    <row r="29" spans="1:38" ht="85.05" customHeight="1" x14ac:dyDescent="0.3">
      <c r="A29" s="3" t="s">
        <v>227</v>
      </c>
      <c r="B29" s="3" t="s">
        <v>228</v>
      </c>
      <c r="C29" s="3" t="s">
        <v>229</v>
      </c>
      <c r="D29" s="3" t="s">
        <v>230</v>
      </c>
      <c r="E29" s="3" t="s">
        <v>97</v>
      </c>
      <c r="F29" s="3" t="s">
        <v>98</v>
      </c>
      <c r="G29" s="3"/>
      <c r="H29" s="3"/>
      <c r="I29" s="3"/>
      <c r="J29" s="3" t="s">
        <v>79</v>
      </c>
      <c r="K29" s="3" t="s">
        <v>80</v>
      </c>
      <c r="L29" s="3" t="s">
        <v>81</v>
      </c>
      <c r="M29" s="3" t="s">
        <v>82</v>
      </c>
      <c r="N29" s="3" t="s">
        <v>83</v>
      </c>
      <c r="O29" s="3" t="s">
        <v>83</v>
      </c>
      <c r="P29" s="3" t="s">
        <v>83</v>
      </c>
      <c r="Q29" s="3" t="s">
        <v>83</v>
      </c>
      <c r="R29" s="3" t="s">
        <v>83</v>
      </c>
      <c r="S29" s="3" t="s">
        <v>83</v>
      </c>
      <c r="T29" s="3" t="s">
        <v>83</v>
      </c>
      <c r="U29" s="3" t="s">
        <v>84</v>
      </c>
      <c r="V29" s="3" t="s">
        <v>84</v>
      </c>
      <c r="W29" s="3" t="s">
        <v>85</v>
      </c>
      <c r="X29" s="3" t="s">
        <v>85</v>
      </c>
      <c r="Y29" s="3" t="s">
        <v>85</v>
      </c>
      <c r="Z29" s="3"/>
      <c r="AA29" s="3" t="s">
        <v>86</v>
      </c>
      <c r="AB29" s="3" t="s">
        <v>62</v>
      </c>
      <c r="AC29" s="3" t="s">
        <v>87</v>
      </c>
      <c r="AD29" s="3" t="s">
        <v>85</v>
      </c>
      <c r="AE29" s="3" t="s">
        <v>88</v>
      </c>
      <c r="AF29" s="3"/>
      <c r="AG29" s="3" t="s">
        <v>85</v>
      </c>
      <c r="AH29" s="3"/>
      <c r="AI29" s="3" t="s">
        <v>89</v>
      </c>
      <c r="AJ29" s="3" t="s">
        <v>231</v>
      </c>
      <c r="AK29" s="3" t="s">
        <v>91</v>
      </c>
      <c r="AL29" s="3" t="s">
        <v>92</v>
      </c>
    </row>
    <row r="30" spans="1:38" ht="85.05" customHeight="1" x14ac:dyDescent="0.3">
      <c r="A30" s="3" t="s">
        <v>232</v>
      </c>
      <c r="B30" s="3" t="s">
        <v>233</v>
      </c>
      <c r="C30" s="3" t="s">
        <v>234</v>
      </c>
      <c r="D30" s="3" t="s">
        <v>235</v>
      </c>
      <c r="E30" s="3" t="s">
        <v>77</v>
      </c>
      <c r="F30" s="3" t="s">
        <v>78</v>
      </c>
      <c r="G30" s="3"/>
      <c r="H30" s="3"/>
      <c r="I30" s="3"/>
      <c r="J30" s="3" t="s">
        <v>79</v>
      </c>
      <c r="K30" s="3" t="s">
        <v>80</v>
      </c>
      <c r="L30" s="3" t="s">
        <v>81</v>
      </c>
      <c r="M30" s="3" t="s">
        <v>82</v>
      </c>
      <c r="N30" s="3" t="s">
        <v>83</v>
      </c>
      <c r="O30" s="3" t="s">
        <v>83</v>
      </c>
      <c r="P30" s="3" t="s">
        <v>83</v>
      </c>
      <c r="Q30" s="3" t="s">
        <v>83</v>
      </c>
      <c r="R30" s="3" t="s">
        <v>83</v>
      </c>
      <c r="S30" s="3" t="s">
        <v>83</v>
      </c>
      <c r="T30" s="3" t="s">
        <v>83</v>
      </c>
      <c r="U30" s="3" t="s">
        <v>84</v>
      </c>
      <c r="V30" s="3" t="s">
        <v>84</v>
      </c>
      <c r="W30" s="3" t="s">
        <v>85</v>
      </c>
      <c r="X30" s="3" t="s">
        <v>85</v>
      </c>
      <c r="Y30" s="3" t="s">
        <v>85</v>
      </c>
      <c r="Z30" s="3"/>
      <c r="AA30" s="3" t="s">
        <v>86</v>
      </c>
      <c r="AB30" s="3" t="s">
        <v>62</v>
      </c>
      <c r="AC30" s="3" t="s">
        <v>87</v>
      </c>
      <c r="AD30" s="3" t="s">
        <v>85</v>
      </c>
      <c r="AE30" s="3" t="s">
        <v>88</v>
      </c>
      <c r="AF30" s="3"/>
      <c r="AG30" s="3" t="s">
        <v>85</v>
      </c>
      <c r="AH30" s="3"/>
      <c r="AI30" s="3" t="s">
        <v>89</v>
      </c>
      <c r="AJ30" s="3" t="s">
        <v>236</v>
      </c>
      <c r="AK30" s="3" t="s">
        <v>91</v>
      </c>
      <c r="AL30" s="3" t="s">
        <v>92</v>
      </c>
    </row>
    <row r="31" spans="1:38" ht="85.05" customHeight="1" x14ac:dyDescent="0.3">
      <c r="A31" s="3" t="s">
        <v>237</v>
      </c>
      <c r="B31" s="3" t="s">
        <v>238</v>
      </c>
      <c r="C31" s="3" t="s">
        <v>239</v>
      </c>
      <c r="D31" s="3" t="s">
        <v>240</v>
      </c>
      <c r="E31" s="3" t="s">
        <v>169</v>
      </c>
      <c r="F31" s="3" t="s">
        <v>170</v>
      </c>
      <c r="G31" s="3"/>
      <c r="H31" s="3"/>
      <c r="I31" s="3"/>
      <c r="J31" s="3" t="s">
        <v>79</v>
      </c>
      <c r="K31" s="3" t="s">
        <v>80</v>
      </c>
      <c r="L31" s="3" t="s">
        <v>81</v>
      </c>
      <c r="M31" s="3" t="s">
        <v>82</v>
      </c>
      <c r="N31" s="3" t="s">
        <v>83</v>
      </c>
      <c r="O31" s="3" t="s">
        <v>83</v>
      </c>
      <c r="P31" s="3" t="s">
        <v>83</v>
      </c>
      <c r="Q31" s="3" t="s">
        <v>83</v>
      </c>
      <c r="R31" s="3" t="s">
        <v>83</v>
      </c>
      <c r="S31" s="3" t="s">
        <v>83</v>
      </c>
      <c r="T31" s="3" t="s">
        <v>83</v>
      </c>
      <c r="U31" s="3" t="s">
        <v>84</v>
      </c>
      <c r="V31" s="3" t="s">
        <v>84</v>
      </c>
      <c r="W31" s="3" t="s">
        <v>85</v>
      </c>
      <c r="X31" s="3" t="s">
        <v>85</v>
      </c>
      <c r="Y31" s="3" t="s">
        <v>85</v>
      </c>
      <c r="Z31" s="3"/>
      <c r="AA31" s="3" t="s">
        <v>86</v>
      </c>
      <c r="AB31" s="3" t="s">
        <v>62</v>
      </c>
      <c r="AC31" s="3" t="s">
        <v>87</v>
      </c>
      <c r="AD31" s="3" t="s">
        <v>85</v>
      </c>
      <c r="AE31" s="3" t="s">
        <v>88</v>
      </c>
      <c r="AF31" s="3"/>
      <c r="AG31" s="3" t="s">
        <v>85</v>
      </c>
      <c r="AH31" s="3"/>
      <c r="AI31" s="3" t="s">
        <v>89</v>
      </c>
      <c r="AJ31" s="3" t="s">
        <v>241</v>
      </c>
      <c r="AK31" s="3" t="s">
        <v>91</v>
      </c>
      <c r="AL31" s="3" t="s">
        <v>92</v>
      </c>
    </row>
  </sheetData>
  <conditionalFormatting sqref="F2:F31">
    <cfRule type="cellIs" dxfId="117" priority="2" operator="equal">
      <formula>"Critical"</formula>
    </cfRule>
    <cfRule type="cellIs" dxfId="116" priority="4" operator="equal">
      <formula>"High"</formula>
    </cfRule>
    <cfRule type="cellIs" dxfId="115" priority="6" operator="equal">
      <formula>"Medium"</formula>
    </cfRule>
    <cfRule type="cellIs" dxfId="114" priority="8" operator="equal">
      <formula>"Low"</formula>
    </cfRule>
  </conditionalFormatting>
  <conditionalFormatting sqref="L2:L31">
    <cfRule type="cellIs" dxfId="113" priority="1" operator="equal">
      <formula>"Critical"</formula>
    </cfRule>
    <cfRule type="cellIs" dxfId="112" priority="3" operator="equal">
      <formula>"High"</formula>
    </cfRule>
    <cfRule type="cellIs" dxfId="111" priority="5" operator="equal">
      <formula>"Medium"</formula>
    </cfRule>
    <cfRule type="cellIs" dxfId="110" priority="7" operator="equal">
      <formula>"Low"</formula>
    </cfRule>
  </conditionalFormatting>
  <conditionalFormatting sqref="M2:M31">
    <cfRule type="cellIs" dxfId="109" priority="9" operator="equal">
      <formula>"Open"</formula>
    </cfRule>
  </conditionalFormatting>
  <dataValidations count="10">
    <dataValidation type="list" allowBlank="1" sqref="E2:E31" xr:uid="{00000000-0002-0000-0200-000000000000}">
      <formula1>"Basic,Standard,Enhanced"</formula1>
    </dataValidation>
    <dataValidation type="list" allowBlank="1" sqref="F2:F31" xr:uid="{00000000-0002-0000-0200-000001000000}">
      <formula1>"Low,Medium,High,Critical"</formula1>
    </dataValidation>
    <dataValidation type="list" allowBlank="1" sqref="J2:J31" xr:uid="{00000000-0002-0000-0200-000002000000}">
      <formula1>"Not Reported,Security Incident,Data Breach,Privacy Incident,Service Outage,SLA Breach,Policy/Control Breach,Other"</formula1>
    </dataValidation>
    <dataValidation type="list" allowBlank="1" sqref="K2:K31" xr:uid="{00000000-0002-0000-0200-000003000000}">
      <formula1>"Security,Privacy,Availability,Access Control,Data Protection,Compliance,Other"</formula1>
    </dataValidation>
    <dataValidation type="list" allowBlank="1" sqref="L2:L31" xr:uid="{00000000-0002-0000-0200-000004000000}">
      <formula1>"None,Low,Medium,High,Critical"</formula1>
    </dataValidation>
    <dataValidation type="list" allowBlank="1" sqref="M2:M31" xr:uid="{00000000-0002-0000-0200-000005000000}">
      <formula1>"Open,Triage,Investigating,Contained,Remediation,Monitoring,Closed,Rejected"</formula1>
    </dataValidation>
    <dataValidation type="list" allowBlank="1" sqref="U2:V31" xr:uid="{00000000-0002-0000-0200-000006000000}">
      <formula1>"Not Started,In Progress,Completed"</formula1>
    </dataValidation>
    <dataValidation type="list" allowBlank="1" sqref="W2:Y31" xr:uid="{00000000-0002-0000-0200-000008000000}">
      <formula1>"Yes,No,Pending"</formula1>
    </dataValidation>
    <dataValidation type="list" allowBlank="1" sqref="AG2:AG31" xr:uid="{00000000-0002-0000-0200-00000B000000}">
      <formula1>"Pending,In Progress,Verified,Not Applicable"</formula1>
    </dataValidation>
    <dataValidation type="list" allowBlank="1" sqref="AK2:AK31" xr:uid="{00000000-0002-0000-0200-00000C000000}">
      <formula1>"Yes,No"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S31"/>
  <sheetViews>
    <sheetView showGridLines="0" workbookViewId="0">
      <pane ySplit="1" topLeftCell="A2" activePane="bottomLeft" state="frozen"/>
      <selection pane="bottomLeft" activeCell="D6" sqref="A2:S31"/>
    </sheetView>
  </sheetViews>
  <sheetFormatPr defaultRowHeight="14.4" x14ac:dyDescent="0.3"/>
  <cols>
    <col min="1" max="2" width="16" customWidth="1"/>
    <col min="3" max="3" width="13" customWidth="1"/>
    <col min="4" max="4" width="30" customWidth="1"/>
    <col min="5" max="7" width="15" customWidth="1"/>
    <col min="8" max="8" width="14" customWidth="1"/>
    <col min="9" max="9" width="16" customWidth="1"/>
    <col min="10" max="10" width="40" customWidth="1"/>
    <col min="11" max="14" width="22" customWidth="1"/>
    <col min="15" max="15" width="24" customWidth="1"/>
    <col min="16" max="16" width="20" customWidth="1"/>
    <col min="17" max="17" width="70" customWidth="1"/>
    <col min="18" max="18" width="22" customWidth="1"/>
    <col min="19" max="19" width="16" customWidth="1"/>
  </cols>
  <sheetData>
    <row r="1" spans="1:19" ht="46.05" customHeight="1" x14ac:dyDescent="0.3">
      <c r="A1" s="5" t="s">
        <v>242</v>
      </c>
      <c r="B1" s="5" t="s">
        <v>36</v>
      </c>
      <c r="C1" s="5" t="s">
        <v>37</v>
      </c>
      <c r="D1" s="5" t="s">
        <v>38</v>
      </c>
      <c r="E1" s="5" t="s">
        <v>47</v>
      </c>
      <c r="F1" s="5" t="s">
        <v>243</v>
      </c>
      <c r="G1" s="5" t="s">
        <v>244</v>
      </c>
      <c r="H1" s="5" t="s">
        <v>245</v>
      </c>
      <c r="I1" s="5" t="s">
        <v>41</v>
      </c>
      <c r="J1" s="5" t="s">
        <v>246</v>
      </c>
      <c r="K1" s="5" t="s">
        <v>247</v>
      </c>
      <c r="L1" s="5" t="s">
        <v>248</v>
      </c>
      <c r="M1" s="5" t="s">
        <v>249</v>
      </c>
      <c r="N1" s="5" t="s">
        <v>250</v>
      </c>
      <c r="O1" s="5" t="s">
        <v>251</v>
      </c>
      <c r="P1" s="5" t="s">
        <v>252</v>
      </c>
      <c r="Q1" s="5" t="s">
        <v>253</v>
      </c>
      <c r="R1" s="5" t="s">
        <v>254</v>
      </c>
      <c r="S1" s="5" t="s">
        <v>255</v>
      </c>
    </row>
    <row r="2" spans="1:19" ht="70.05" customHeight="1" x14ac:dyDescent="0.3">
      <c r="A2" s="3" t="s">
        <v>256</v>
      </c>
      <c r="B2" s="3" t="s">
        <v>73</v>
      </c>
      <c r="C2" s="3" t="s">
        <v>74</v>
      </c>
      <c r="D2" s="3" t="s">
        <v>75</v>
      </c>
      <c r="E2" s="3" t="s">
        <v>81</v>
      </c>
      <c r="F2" s="3">
        <v>3</v>
      </c>
      <c r="G2" s="3">
        <v>3</v>
      </c>
      <c r="H2" s="3">
        <f t="shared" ref="H2:H31" si="0">F2*G2</f>
        <v>9</v>
      </c>
      <c r="I2" s="3" t="str">
        <f t="shared" ref="I2:I31" si="1">IF(H2&gt;=17,"Critical",IF(H2&gt;=10,"High",IF(H2&gt;=5,"Medium","Low")))</f>
        <v>Medium</v>
      </c>
      <c r="J2" s="3" t="s">
        <v>83</v>
      </c>
      <c r="K2" s="3" t="s">
        <v>85</v>
      </c>
      <c r="L2" s="3" t="s">
        <v>85</v>
      </c>
      <c r="M2" s="3" t="s">
        <v>85</v>
      </c>
      <c r="N2" s="3" t="s">
        <v>85</v>
      </c>
      <c r="O2" s="3" t="s">
        <v>83</v>
      </c>
      <c r="P2" s="3" t="s">
        <v>97</v>
      </c>
      <c r="Q2" s="3" t="s">
        <v>257</v>
      </c>
      <c r="R2" s="3" t="s">
        <v>258</v>
      </c>
      <c r="S2" s="3"/>
    </row>
    <row r="3" spans="1:19" ht="70.05" customHeight="1" x14ac:dyDescent="0.3">
      <c r="A3" s="3" t="s">
        <v>259</v>
      </c>
      <c r="B3" s="3" t="s">
        <v>93</v>
      </c>
      <c r="C3" s="3" t="s">
        <v>94</v>
      </c>
      <c r="D3" s="3" t="s">
        <v>95</v>
      </c>
      <c r="E3" s="3" t="s">
        <v>81</v>
      </c>
      <c r="F3" s="3">
        <v>3</v>
      </c>
      <c r="G3" s="3">
        <v>3</v>
      </c>
      <c r="H3" s="3">
        <f t="shared" si="0"/>
        <v>9</v>
      </c>
      <c r="I3" s="3" t="str">
        <f t="shared" si="1"/>
        <v>Medium</v>
      </c>
      <c r="J3" s="3" t="s">
        <v>83</v>
      </c>
      <c r="K3" s="3" t="s">
        <v>85</v>
      </c>
      <c r="L3" s="3" t="s">
        <v>85</v>
      </c>
      <c r="M3" s="3" t="s">
        <v>85</v>
      </c>
      <c r="N3" s="3" t="s">
        <v>85</v>
      </c>
      <c r="O3" s="3" t="s">
        <v>83</v>
      </c>
      <c r="P3" s="3" t="s">
        <v>97</v>
      </c>
      <c r="Q3" s="3" t="s">
        <v>257</v>
      </c>
      <c r="R3" s="3" t="s">
        <v>258</v>
      </c>
      <c r="S3" s="3"/>
    </row>
    <row r="4" spans="1:19" ht="70.05" customHeight="1" x14ac:dyDescent="0.3">
      <c r="A4" s="3" t="s">
        <v>260</v>
      </c>
      <c r="B4" s="3" t="s">
        <v>100</v>
      </c>
      <c r="C4" s="3" t="s">
        <v>101</v>
      </c>
      <c r="D4" s="3" t="s">
        <v>102</v>
      </c>
      <c r="E4" s="3" t="s">
        <v>81</v>
      </c>
      <c r="F4" s="3">
        <v>3</v>
      </c>
      <c r="G4" s="3">
        <v>3</v>
      </c>
      <c r="H4" s="3">
        <f t="shared" si="0"/>
        <v>9</v>
      </c>
      <c r="I4" s="3" t="str">
        <f t="shared" si="1"/>
        <v>Medium</v>
      </c>
      <c r="J4" s="3" t="s">
        <v>83</v>
      </c>
      <c r="K4" s="3" t="s">
        <v>85</v>
      </c>
      <c r="L4" s="3" t="s">
        <v>85</v>
      </c>
      <c r="M4" s="3" t="s">
        <v>85</v>
      </c>
      <c r="N4" s="3" t="s">
        <v>85</v>
      </c>
      <c r="O4" s="3" t="s">
        <v>83</v>
      </c>
      <c r="P4" s="3" t="s">
        <v>97</v>
      </c>
      <c r="Q4" s="3" t="s">
        <v>257</v>
      </c>
      <c r="R4" s="3" t="s">
        <v>258</v>
      </c>
      <c r="S4" s="3"/>
    </row>
    <row r="5" spans="1:19" ht="70.05" customHeight="1" x14ac:dyDescent="0.3">
      <c r="A5" s="3" t="s">
        <v>261</v>
      </c>
      <c r="B5" s="3" t="s">
        <v>105</v>
      </c>
      <c r="C5" s="3" t="s">
        <v>106</v>
      </c>
      <c r="D5" s="3" t="s">
        <v>107</v>
      </c>
      <c r="E5" s="3" t="s">
        <v>81</v>
      </c>
      <c r="F5" s="3">
        <v>3</v>
      </c>
      <c r="G5" s="3">
        <v>3</v>
      </c>
      <c r="H5" s="3">
        <f t="shared" si="0"/>
        <v>9</v>
      </c>
      <c r="I5" s="3" t="str">
        <f t="shared" si="1"/>
        <v>Medium</v>
      </c>
      <c r="J5" s="3" t="s">
        <v>83</v>
      </c>
      <c r="K5" s="3" t="s">
        <v>85</v>
      </c>
      <c r="L5" s="3" t="s">
        <v>85</v>
      </c>
      <c r="M5" s="3" t="s">
        <v>85</v>
      </c>
      <c r="N5" s="3" t="s">
        <v>85</v>
      </c>
      <c r="O5" s="3" t="s">
        <v>83</v>
      </c>
      <c r="P5" s="3" t="s">
        <v>97</v>
      </c>
      <c r="Q5" s="3" t="s">
        <v>257</v>
      </c>
      <c r="R5" s="3" t="s">
        <v>258</v>
      </c>
      <c r="S5" s="3"/>
    </row>
    <row r="6" spans="1:19" ht="70.05" customHeight="1" x14ac:dyDescent="0.3">
      <c r="A6" s="3" t="s">
        <v>262</v>
      </c>
      <c r="B6" s="3" t="s">
        <v>110</v>
      </c>
      <c r="C6" s="3" t="s">
        <v>111</v>
      </c>
      <c r="D6" s="3" t="s">
        <v>112</v>
      </c>
      <c r="E6" s="3" t="s">
        <v>81</v>
      </c>
      <c r="F6" s="3">
        <v>3</v>
      </c>
      <c r="G6" s="3">
        <v>3</v>
      </c>
      <c r="H6" s="3">
        <f t="shared" si="0"/>
        <v>9</v>
      </c>
      <c r="I6" s="3" t="str">
        <f t="shared" si="1"/>
        <v>Medium</v>
      </c>
      <c r="J6" s="3" t="s">
        <v>83</v>
      </c>
      <c r="K6" s="3" t="s">
        <v>85</v>
      </c>
      <c r="L6" s="3" t="s">
        <v>85</v>
      </c>
      <c r="M6" s="3" t="s">
        <v>85</v>
      </c>
      <c r="N6" s="3" t="s">
        <v>85</v>
      </c>
      <c r="O6" s="3" t="s">
        <v>83</v>
      </c>
      <c r="P6" s="3" t="s">
        <v>97</v>
      </c>
      <c r="Q6" s="3" t="s">
        <v>257</v>
      </c>
      <c r="R6" s="3" t="s">
        <v>258</v>
      </c>
      <c r="S6" s="3"/>
    </row>
    <row r="7" spans="1:19" ht="70.05" customHeight="1" x14ac:dyDescent="0.3">
      <c r="A7" s="3" t="s">
        <v>263</v>
      </c>
      <c r="B7" s="3" t="s">
        <v>115</v>
      </c>
      <c r="C7" s="3" t="s">
        <v>116</v>
      </c>
      <c r="D7" s="3" t="s">
        <v>117</v>
      </c>
      <c r="E7" s="3" t="s">
        <v>81</v>
      </c>
      <c r="F7" s="3">
        <v>3</v>
      </c>
      <c r="G7" s="3">
        <v>3</v>
      </c>
      <c r="H7" s="3">
        <f t="shared" si="0"/>
        <v>9</v>
      </c>
      <c r="I7" s="3" t="str">
        <f t="shared" si="1"/>
        <v>Medium</v>
      </c>
      <c r="J7" s="3" t="s">
        <v>83</v>
      </c>
      <c r="K7" s="3" t="s">
        <v>85</v>
      </c>
      <c r="L7" s="3" t="s">
        <v>85</v>
      </c>
      <c r="M7" s="3" t="s">
        <v>85</v>
      </c>
      <c r="N7" s="3" t="s">
        <v>85</v>
      </c>
      <c r="O7" s="3" t="s">
        <v>83</v>
      </c>
      <c r="P7" s="3" t="s">
        <v>97</v>
      </c>
      <c r="Q7" s="3" t="s">
        <v>257</v>
      </c>
      <c r="R7" s="3" t="s">
        <v>258</v>
      </c>
      <c r="S7" s="3"/>
    </row>
    <row r="8" spans="1:19" ht="70.05" customHeight="1" x14ac:dyDescent="0.3">
      <c r="A8" s="3" t="s">
        <v>264</v>
      </c>
      <c r="B8" s="3" t="s">
        <v>120</v>
      </c>
      <c r="C8" s="3" t="s">
        <v>121</v>
      </c>
      <c r="D8" s="3" t="s">
        <v>122</v>
      </c>
      <c r="E8" s="3" t="s">
        <v>81</v>
      </c>
      <c r="F8" s="3">
        <v>3</v>
      </c>
      <c r="G8" s="3">
        <v>3</v>
      </c>
      <c r="H8" s="3">
        <f t="shared" si="0"/>
        <v>9</v>
      </c>
      <c r="I8" s="3" t="str">
        <f t="shared" si="1"/>
        <v>Medium</v>
      </c>
      <c r="J8" s="3" t="s">
        <v>83</v>
      </c>
      <c r="K8" s="3" t="s">
        <v>85</v>
      </c>
      <c r="L8" s="3" t="s">
        <v>85</v>
      </c>
      <c r="M8" s="3" t="s">
        <v>85</v>
      </c>
      <c r="N8" s="3" t="s">
        <v>85</v>
      </c>
      <c r="O8" s="3" t="s">
        <v>83</v>
      </c>
      <c r="P8" s="3" t="s">
        <v>97</v>
      </c>
      <c r="Q8" s="3" t="s">
        <v>257</v>
      </c>
      <c r="R8" s="3" t="s">
        <v>258</v>
      </c>
      <c r="S8" s="3"/>
    </row>
    <row r="9" spans="1:19" ht="70.05" customHeight="1" x14ac:dyDescent="0.3">
      <c r="A9" s="3" t="s">
        <v>265</v>
      </c>
      <c r="B9" s="3" t="s">
        <v>125</v>
      </c>
      <c r="C9" s="3" t="s">
        <v>126</v>
      </c>
      <c r="D9" s="3" t="s">
        <v>127</v>
      </c>
      <c r="E9" s="3" t="s">
        <v>81</v>
      </c>
      <c r="F9" s="3">
        <v>3</v>
      </c>
      <c r="G9" s="3">
        <v>3</v>
      </c>
      <c r="H9" s="3">
        <f t="shared" si="0"/>
        <v>9</v>
      </c>
      <c r="I9" s="3" t="str">
        <f t="shared" si="1"/>
        <v>Medium</v>
      </c>
      <c r="J9" s="3" t="s">
        <v>83</v>
      </c>
      <c r="K9" s="3" t="s">
        <v>85</v>
      </c>
      <c r="L9" s="3" t="s">
        <v>85</v>
      </c>
      <c r="M9" s="3" t="s">
        <v>85</v>
      </c>
      <c r="N9" s="3" t="s">
        <v>85</v>
      </c>
      <c r="O9" s="3" t="s">
        <v>83</v>
      </c>
      <c r="P9" s="3" t="s">
        <v>97</v>
      </c>
      <c r="Q9" s="3" t="s">
        <v>257</v>
      </c>
      <c r="R9" s="3" t="s">
        <v>258</v>
      </c>
      <c r="S9" s="3"/>
    </row>
    <row r="10" spans="1:19" ht="70.05" customHeight="1" x14ac:dyDescent="0.3">
      <c r="A10" s="3" t="s">
        <v>266</v>
      </c>
      <c r="B10" s="3" t="s">
        <v>130</v>
      </c>
      <c r="C10" s="3" t="s">
        <v>131</v>
      </c>
      <c r="D10" s="3" t="s">
        <v>132</v>
      </c>
      <c r="E10" s="3" t="s">
        <v>81</v>
      </c>
      <c r="F10" s="3">
        <v>3</v>
      </c>
      <c r="G10" s="3">
        <v>3</v>
      </c>
      <c r="H10" s="3">
        <f t="shared" si="0"/>
        <v>9</v>
      </c>
      <c r="I10" s="3" t="str">
        <f t="shared" si="1"/>
        <v>Medium</v>
      </c>
      <c r="J10" s="3" t="s">
        <v>83</v>
      </c>
      <c r="K10" s="3" t="s">
        <v>85</v>
      </c>
      <c r="L10" s="3" t="s">
        <v>85</v>
      </c>
      <c r="M10" s="3" t="s">
        <v>85</v>
      </c>
      <c r="N10" s="3" t="s">
        <v>85</v>
      </c>
      <c r="O10" s="3" t="s">
        <v>83</v>
      </c>
      <c r="P10" s="3" t="s">
        <v>97</v>
      </c>
      <c r="Q10" s="3" t="s">
        <v>257</v>
      </c>
      <c r="R10" s="3" t="s">
        <v>258</v>
      </c>
      <c r="S10" s="3"/>
    </row>
    <row r="11" spans="1:19" ht="70.05" customHeight="1" x14ac:dyDescent="0.3">
      <c r="A11" s="3" t="s">
        <v>267</v>
      </c>
      <c r="B11" s="3" t="s">
        <v>135</v>
      </c>
      <c r="C11" s="3" t="s">
        <v>136</v>
      </c>
      <c r="D11" s="3" t="s">
        <v>137</v>
      </c>
      <c r="E11" s="3" t="s">
        <v>81</v>
      </c>
      <c r="F11" s="3">
        <v>3</v>
      </c>
      <c r="G11" s="3">
        <v>3</v>
      </c>
      <c r="H11" s="3">
        <f t="shared" si="0"/>
        <v>9</v>
      </c>
      <c r="I11" s="3" t="str">
        <f t="shared" si="1"/>
        <v>Medium</v>
      </c>
      <c r="J11" s="3" t="s">
        <v>83</v>
      </c>
      <c r="K11" s="3" t="s">
        <v>85</v>
      </c>
      <c r="L11" s="3" t="s">
        <v>85</v>
      </c>
      <c r="M11" s="3" t="s">
        <v>85</v>
      </c>
      <c r="N11" s="3" t="s">
        <v>85</v>
      </c>
      <c r="O11" s="3" t="s">
        <v>83</v>
      </c>
      <c r="P11" s="3" t="s">
        <v>97</v>
      </c>
      <c r="Q11" s="3" t="s">
        <v>257</v>
      </c>
      <c r="R11" s="3" t="s">
        <v>258</v>
      </c>
      <c r="S11" s="3"/>
    </row>
    <row r="12" spans="1:19" ht="70.05" customHeight="1" x14ac:dyDescent="0.3">
      <c r="A12" s="3" t="s">
        <v>268</v>
      </c>
      <c r="B12" s="3" t="s">
        <v>140</v>
      </c>
      <c r="C12" s="3" t="s">
        <v>141</v>
      </c>
      <c r="D12" s="3" t="s">
        <v>142</v>
      </c>
      <c r="E12" s="3" t="s">
        <v>81</v>
      </c>
      <c r="F12" s="3">
        <v>3</v>
      </c>
      <c r="G12" s="3">
        <v>3</v>
      </c>
      <c r="H12" s="3">
        <f t="shared" si="0"/>
        <v>9</v>
      </c>
      <c r="I12" s="3" t="str">
        <f t="shared" si="1"/>
        <v>Medium</v>
      </c>
      <c r="J12" s="3" t="s">
        <v>83</v>
      </c>
      <c r="K12" s="3" t="s">
        <v>85</v>
      </c>
      <c r="L12" s="3" t="s">
        <v>85</v>
      </c>
      <c r="M12" s="3" t="s">
        <v>85</v>
      </c>
      <c r="N12" s="3" t="s">
        <v>85</v>
      </c>
      <c r="O12" s="3" t="s">
        <v>83</v>
      </c>
      <c r="P12" s="3" t="s">
        <v>97</v>
      </c>
      <c r="Q12" s="3" t="s">
        <v>257</v>
      </c>
      <c r="R12" s="3" t="s">
        <v>258</v>
      </c>
      <c r="S12" s="3"/>
    </row>
    <row r="13" spans="1:19" ht="70.05" customHeight="1" x14ac:dyDescent="0.3">
      <c r="A13" s="3" t="s">
        <v>269</v>
      </c>
      <c r="B13" s="3" t="s">
        <v>145</v>
      </c>
      <c r="C13" s="3" t="s">
        <v>146</v>
      </c>
      <c r="D13" s="3" t="s">
        <v>147</v>
      </c>
      <c r="E13" s="3" t="s">
        <v>81</v>
      </c>
      <c r="F13" s="3">
        <v>3</v>
      </c>
      <c r="G13" s="3">
        <v>3</v>
      </c>
      <c r="H13" s="3">
        <f t="shared" si="0"/>
        <v>9</v>
      </c>
      <c r="I13" s="3" t="str">
        <f t="shared" si="1"/>
        <v>Medium</v>
      </c>
      <c r="J13" s="3" t="s">
        <v>83</v>
      </c>
      <c r="K13" s="3" t="s">
        <v>85</v>
      </c>
      <c r="L13" s="3" t="s">
        <v>85</v>
      </c>
      <c r="M13" s="3" t="s">
        <v>85</v>
      </c>
      <c r="N13" s="3" t="s">
        <v>85</v>
      </c>
      <c r="O13" s="3" t="s">
        <v>83</v>
      </c>
      <c r="P13" s="3" t="s">
        <v>97</v>
      </c>
      <c r="Q13" s="3" t="s">
        <v>257</v>
      </c>
      <c r="R13" s="3" t="s">
        <v>258</v>
      </c>
      <c r="S13" s="3"/>
    </row>
    <row r="14" spans="1:19" ht="70.05" customHeight="1" x14ac:dyDescent="0.3">
      <c r="A14" s="3" t="s">
        <v>270</v>
      </c>
      <c r="B14" s="3" t="s">
        <v>150</v>
      </c>
      <c r="C14" s="3" t="s">
        <v>151</v>
      </c>
      <c r="D14" s="3" t="s">
        <v>152</v>
      </c>
      <c r="E14" s="3" t="s">
        <v>81</v>
      </c>
      <c r="F14" s="3">
        <v>3</v>
      </c>
      <c r="G14" s="3">
        <v>3</v>
      </c>
      <c r="H14" s="3">
        <f t="shared" si="0"/>
        <v>9</v>
      </c>
      <c r="I14" s="3" t="str">
        <f t="shared" si="1"/>
        <v>Medium</v>
      </c>
      <c r="J14" s="3" t="s">
        <v>83</v>
      </c>
      <c r="K14" s="3" t="s">
        <v>85</v>
      </c>
      <c r="L14" s="3" t="s">
        <v>85</v>
      </c>
      <c r="M14" s="3" t="s">
        <v>85</v>
      </c>
      <c r="N14" s="3" t="s">
        <v>85</v>
      </c>
      <c r="O14" s="3" t="s">
        <v>83</v>
      </c>
      <c r="P14" s="3" t="s">
        <v>97</v>
      </c>
      <c r="Q14" s="3" t="s">
        <v>257</v>
      </c>
      <c r="R14" s="3" t="s">
        <v>258</v>
      </c>
      <c r="S14" s="3"/>
    </row>
    <row r="15" spans="1:19" ht="70.05" customHeight="1" x14ac:dyDescent="0.3">
      <c r="A15" s="3" t="s">
        <v>271</v>
      </c>
      <c r="B15" s="3" t="s">
        <v>155</v>
      </c>
      <c r="C15" s="3" t="s">
        <v>156</v>
      </c>
      <c r="D15" s="3" t="s">
        <v>157</v>
      </c>
      <c r="E15" s="3" t="s">
        <v>81</v>
      </c>
      <c r="F15" s="3">
        <v>3</v>
      </c>
      <c r="G15" s="3">
        <v>3</v>
      </c>
      <c r="H15" s="3">
        <f t="shared" si="0"/>
        <v>9</v>
      </c>
      <c r="I15" s="3" t="str">
        <f t="shared" si="1"/>
        <v>Medium</v>
      </c>
      <c r="J15" s="3" t="s">
        <v>83</v>
      </c>
      <c r="K15" s="3" t="s">
        <v>85</v>
      </c>
      <c r="L15" s="3" t="s">
        <v>85</v>
      </c>
      <c r="M15" s="3" t="s">
        <v>85</v>
      </c>
      <c r="N15" s="3" t="s">
        <v>85</v>
      </c>
      <c r="O15" s="3" t="s">
        <v>83</v>
      </c>
      <c r="P15" s="3" t="s">
        <v>97</v>
      </c>
      <c r="Q15" s="3" t="s">
        <v>257</v>
      </c>
      <c r="R15" s="3" t="s">
        <v>258</v>
      </c>
      <c r="S15" s="3"/>
    </row>
    <row r="16" spans="1:19" ht="70.05" customHeight="1" x14ac:dyDescent="0.3">
      <c r="A16" s="3" t="s">
        <v>272</v>
      </c>
      <c r="B16" s="3" t="s">
        <v>160</v>
      </c>
      <c r="C16" s="3" t="s">
        <v>161</v>
      </c>
      <c r="D16" s="3" t="s">
        <v>162</v>
      </c>
      <c r="E16" s="3" t="s">
        <v>81</v>
      </c>
      <c r="F16" s="3">
        <v>3</v>
      </c>
      <c r="G16" s="3">
        <v>3</v>
      </c>
      <c r="H16" s="3">
        <f t="shared" si="0"/>
        <v>9</v>
      </c>
      <c r="I16" s="3" t="str">
        <f t="shared" si="1"/>
        <v>Medium</v>
      </c>
      <c r="J16" s="3" t="s">
        <v>83</v>
      </c>
      <c r="K16" s="3" t="s">
        <v>85</v>
      </c>
      <c r="L16" s="3" t="s">
        <v>85</v>
      </c>
      <c r="M16" s="3" t="s">
        <v>85</v>
      </c>
      <c r="N16" s="3" t="s">
        <v>85</v>
      </c>
      <c r="O16" s="3" t="s">
        <v>83</v>
      </c>
      <c r="P16" s="3" t="s">
        <v>97</v>
      </c>
      <c r="Q16" s="3" t="s">
        <v>257</v>
      </c>
      <c r="R16" s="3" t="s">
        <v>258</v>
      </c>
      <c r="S16" s="3"/>
    </row>
    <row r="17" spans="1:19" ht="70.05" customHeight="1" x14ac:dyDescent="0.3">
      <c r="A17" s="3" t="s">
        <v>273</v>
      </c>
      <c r="B17" s="3" t="s">
        <v>165</v>
      </c>
      <c r="C17" s="3" t="s">
        <v>166</v>
      </c>
      <c r="D17" s="3" t="s">
        <v>167</v>
      </c>
      <c r="E17" s="3" t="s">
        <v>81</v>
      </c>
      <c r="F17" s="3">
        <v>3</v>
      </c>
      <c r="G17" s="3">
        <v>3</v>
      </c>
      <c r="H17" s="3">
        <f t="shared" si="0"/>
        <v>9</v>
      </c>
      <c r="I17" s="3" t="str">
        <f t="shared" si="1"/>
        <v>Medium</v>
      </c>
      <c r="J17" s="3" t="s">
        <v>83</v>
      </c>
      <c r="K17" s="3" t="s">
        <v>85</v>
      </c>
      <c r="L17" s="3" t="s">
        <v>85</v>
      </c>
      <c r="M17" s="3" t="s">
        <v>85</v>
      </c>
      <c r="N17" s="3" t="s">
        <v>85</v>
      </c>
      <c r="O17" s="3" t="s">
        <v>83</v>
      </c>
      <c r="P17" s="3" t="s">
        <v>97</v>
      </c>
      <c r="Q17" s="3" t="s">
        <v>257</v>
      </c>
      <c r="R17" s="3" t="s">
        <v>258</v>
      </c>
      <c r="S17" s="3"/>
    </row>
    <row r="18" spans="1:19" ht="70.05" customHeight="1" x14ac:dyDescent="0.3">
      <c r="A18" s="3" t="s">
        <v>274</v>
      </c>
      <c r="B18" s="3" t="s">
        <v>172</v>
      </c>
      <c r="C18" s="3" t="s">
        <v>173</v>
      </c>
      <c r="D18" s="3" t="s">
        <v>174</v>
      </c>
      <c r="E18" s="3" t="s">
        <v>81</v>
      </c>
      <c r="F18" s="3">
        <v>3</v>
      </c>
      <c r="G18" s="3">
        <v>3</v>
      </c>
      <c r="H18" s="3">
        <f t="shared" si="0"/>
        <v>9</v>
      </c>
      <c r="I18" s="3" t="str">
        <f t="shared" si="1"/>
        <v>Medium</v>
      </c>
      <c r="J18" s="3" t="s">
        <v>83</v>
      </c>
      <c r="K18" s="3" t="s">
        <v>85</v>
      </c>
      <c r="L18" s="3" t="s">
        <v>85</v>
      </c>
      <c r="M18" s="3" t="s">
        <v>85</v>
      </c>
      <c r="N18" s="3" t="s">
        <v>85</v>
      </c>
      <c r="O18" s="3" t="s">
        <v>83</v>
      </c>
      <c r="P18" s="3" t="s">
        <v>97</v>
      </c>
      <c r="Q18" s="3" t="s">
        <v>257</v>
      </c>
      <c r="R18" s="3" t="s">
        <v>258</v>
      </c>
      <c r="S18" s="3"/>
    </row>
    <row r="19" spans="1:19" ht="70.05" customHeight="1" x14ac:dyDescent="0.3">
      <c r="A19" s="3" t="s">
        <v>275</v>
      </c>
      <c r="B19" s="3" t="s">
        <v>177</v>
      </c>
      <c r="C19" s="3" t="s">
        <v>178</v>
      </c>
      <c r="D19" s="3" t="s">
        <v>179</v>
      </c>
      <c r="E19" s="3" t="s">
        <v>81</v>
      </c>
      <c r="F19" s="3">
        <v>3</v>
      </c>
      <c r="G19" s="3">
        <v>3</v>
      </c>
      <c r="H19" s="3">
        <f t="shared" si="0"/>
        <v>9</v>
      </c>
      <c r="I19" s="3" t="str">
        <f t="shared" si="1"/>
        <v>Medium</v>
      </c>
      <c r="J19" s="3" t="s">
        <v>83</v>
      </c>
      <c r="K19" s="3" t="s">
        <v>85</v>
      </c>
      <c r="L19" s="3" t="s">
        <v>85</v>
      </c>
      <c r="M19" s="3" t="s">
        <v>85</v>
      </c>
      <c r="N19" s="3" t="s">
        <v>85</v>
      </c>
      <c r="O19" s="3" t="s">
        <v>83</v>
      </c>
      <c r="P19" s="3" t="s">
        <v>97</v>
      </c>
      <c r="Q19" s="3" t="s">
        <v>257</v>
      </c>
      <c r="R19" s="3" t="s">
        <v>258</v>
      </c>
      <c r="S19" s="3"/>
    </row>
    <row r="20" spans="1:19" ht="70.05" customHeight="1" x14ac:dyDescent="0.3">
      <c r="A20" s="3" t="s">
        <v>276</v>
      </c>
      <c r="B20" s="3" t="s">
        <v>182</v>
      </c>
      <c r="C20" s="3" t="s">
        <v>183</v>
      </c>
      <c r="D20" s="3" t="s">
        <v>184</v>
      </c>
      <c r="E20" s="3" t="s">
        <v>81</v>
      </c>
      <c r="F20" s="3">
        <v>3</v>
      </c>
      <c r="G20" s="3">
        <v>3</v>
      </c>
      <c r="H20" s="3">
        <f t="shared" si="0"/>
        <v>9</v>
      </c>
      <c r="I20" s="3" t="str">
        <f t="shared" si="1"/>
        <v>Medium</v>
      </c>
      <c r="J20" s="3" t="s">
        <v>83</v>
      </c>
      <c r="K20" s="3" t="s">
        <v>85</v>
      </c>
      <c r="L20" s="3" t="s">
        <v>85</v>
      </c>
      <c r="M20" s="3" t="s">
        <v>85</v>
      </c>
      <c r="N20" s="3" t="s">
        <v>85</v>
      </c>
      <c r="O20" s="3" t="s">
        <v>83</v>
      </c>
      <c r="P20" s="3" t="s">
        <v>97</v>
      </c>
      <c r="Q20" s="3" t="s">
        <v>257</v>
      </c>
      <c r="R20" s="3" t="s">
        <v>258</v>
      </c>
      <c r="S20" s="3"/>
    </row>
    <row r="21" spans="1:19" ht="70.05" customHeight="1" x14ac:dyDescent="0.3">
      <c r="A21" s="3" t="s">
        <v>277</v>
      </c>
      <c r="B21" s="3" t="s">
        <v>187</v>
      </c>
      <c r="C21" s="3" t="s">
        <v>188</v>
      </c>
      <c r="D21" s="3" t="s">
        <v>189</v>
      </c>
      <c r="E21" s="3" t="s">
        <v>81</v>
      </c>
      <c r="F21" s="3">
        <v>3</v>
      </c>
      <c r="G21" s="3">
        <v>3</v>
      </c>
      <c r="H21" s="3">
        <f t="shared" si="0"/>
        <v>9</v>
      </c>
      <c r="I21" s="3" t="str">
        <f t="shared" si="1"/>
        <v>Medium</v>
      </c>
      <c r="J21" s="3" t="s">
        <v>83</v>
      </c>
      <c r="K21" s="3" t="s">
        <v>85</v>
      </c>
      <c r="L21" s="3" t="s">
        <v>85</v>
      </c>
      <c r="M21" s="3" t="s">
        <v>85</v>
      </c>
      <c r="N21" s="3" t="s">
        <v>85</v>
      </c>
      <c r="O21" s="3" t="s">
        <v>83</v>
      </c>
      <c r="P21" s="3" t="s">
        <v>97</v>
      </c>
      <c r="Q21" s="3" t="s">
        <v>257</v>
      </c>
      <c r="R21" s="3" t="s">
        <v>258</v>
      </c>
      <c r="S21" s="3"/>
    </row>
    <row r="22" spans="1:19" ht="70.05" customHeight="1" x14ac:dyDescent="0.3">
      <c r="A22" s="3" t="s">
        <v>278</v>
      </c>
      <c r="B22" s="3" t="s">
        <v>192</v>
      </c>
      <c r="C22" s="3" t="s">
        <v>193</v>
      </c>
      <c r="D22" s="3" t="s">
        <v>194</v>
      </c>
      <c r="E22" s="3" t="s">
        <v>81</v>
      </c>
      <c r="F22" s="3">
        <v>3</v>
      </c>
      <c r="G22" s="3">
        <v>3</v>
      </c>
      <c r="H22" s="3">
        <f t="shared" si="0"/>
        <v>9</v>
      </c>
      <c r="I22" s="3" t="str">
        <f t="shared" si="1"/>
        <v>Medium</v>
      </c>
      <c r="J22" s="3" t="s">
        <v>83</v>
      </c>
      <c r="K22" s="3" t="s">
        <v>85</v>
      </c>
      <c r="L22" s="3" t="s">
        <v>85</v>
      </c>
      <c r="M22" s="3" t="s">
        <v>85</v>
      </c>
      <c r="N22" s="3" t="s">
        <v>85</v>
      </c>
      <c r="O22" s="3" t="s">
        <v>83</v>
      </c>
      <c r="P22" s="3" t="s">
        <v>97</v>
      </c>
      <c r="Q22" s="3" t="s">
        <v>257</v>
      </c>
      <c r="R22" s="3" t="s">
        <v>258</v>
      </c>
      <c r="S22" s="3"/>
    </row>
    <row r="23" spans="1:19" ht="70.05" customHeight="1" x14ac:dyDescent="0.3">
      <c r="A23" s="3" t="s">
        <v>279</v>
      </c>
      <c r="B23" s="3" t="s">
        <v>197</v>
      </c>
      <c r="C23" s="3" t="s">
        <v>198</v>
      </c>
      <c r="D23" s="3" t="s">
        <v>199</v>
      </c>
      <c r="E23" s="3" t="s">
        <v>81</v>
      </c>
      <c r="F23" s="3">
        <v>3</v>
      </c>
      <c r="G23" s="3">
        <v>3</v>
      </c>
      <c r="H23" s="3">
        <f t="shared" si="0"/>
        <v>9</v>
      </c>
      <c r="I23" s="3" t="str">
        <f t="shared" si="1"/>
        <v>Medium</v>
      </c>
      <c r="J23" s="3" t="s">
        <v>83</v>
      </c>
      <c r="K23" s="3" t="s">
        <v>85</v>
      </c>
      <c r="L23" s="3" t="s">
        <v>85</v>
      </c>
      <c r="M23" s="3" t="s">
        <v>85</v>
      </c>
      <c r="N23" s="3" t="s">
        <v>85</v>
      </c>
      <c r="O23" s="3" t="s">
        <v>83</v>
      </c>
      <c r="P23" s="3" t="s">
        <v>97</v>
      </c>
      <c r="Q23" s="3" t="s">
        <v>257</v>
      </c>
      <c r="R23" s="3" t="s">
        <v>258</v>
      </c>
      <c r="S23" s="3"/>
    </row>
    <row r="24" spans="1:19" ht="70.05" customHeight="1" x14ac:dyDescent="0.3">
      <c r="A24" s="3" t="s">
        <v>280</v>
      </c>
      <c r="B24" s="3" t="s">
        <v>202</v>
      </c>
      <c r="C24" s="3" t="s">
        <v>203</v>
      </c>
      <c r="D24" s="3" t="s">
        <v>204</v>
      </c>
      <c r="E24" s="3" t="s">
        <v>81</v>
      </c>
      <c r="F24" s="3">
        <v>3</v>
      </c>
      <c r="G24" s="3">
        <v>3</v>
      </c>
      <c r="H24" s="3">
        <f t="shared" si="0"/>
        <v>9</v>
      </c>
      <c r="I24" s="3" t="str">
        <f t="shared" si="1"/>
        <v>Medium</v>
      </c>
      <c r="J24" s="3" t="s">
        <v>83</v>
      </c>
      <c r="K24" s="3" t="s">
        <v>85</v>
      </c>
      <c r="L24" s="3" t="s">
        <v>85</v>
      </c>
      <c r="M24" s="3" t="s">
        <v>85</v>
      </c>
      <c r="N24" s="3" t="s">
        <v>85</v>
      </c>
      <c r="O24" s="3" t="s">
        <v>83</v>
      </c>
      <c r="P24" s="3" t="s">
        <v>97</v>
      </c>
      <c r="Q24" s="3" t="s">
        <v>257</v>
      </c>
      <c r="R24" s="3" t="s">
        <v>258</v>
      </c>
      <c r="S24" s="3"/>
    </row>
    <row r="25" spans="1:19" ht="70.05" customHeight="1" x14ac:dyDescent="0.3">
      <c r="A25" s="3" t="s">
        <v>281</v>
      </c>
      <c r="B25" s="3" t="s">
        <v>207</v>
      </c>
      <c r="C25" s="3" t="s">
        <v>208</v>
      </c>
      <c r="D25" s="3" t="s">
        <v>209</v>
      </c>
      <c r="E25" s="3" t="s">
        <v>81</v>
      </c>
      <c r="F25" s="3">
        <v>3</v>
      </c>
      <c r="G25" s="3">
        <v>3</v>
      </c>
      <c r="H25" s="3">
        <f t="shared" si="0"/>
        <v>9</v>
      </c>
      <c r="I25" s="3" t="str">
        <f t="shared" si="1"/>
        <v>Medium</v>
      </c>
      <c r="J25" s="3" t="s">
        <v>83</v>
      </c>
      <c r="K25" s="3" t="s">
        <v>85</v>
      </c>
      <c r="L25" s="3" t="s">
        <v>85</v>
      </c>
      <c r="M25" s="3" t="s">
        <v>85</v>
      </c>
      <c r="N25" s="3" t="s">
        <v>85</v>
      </c>
      <c r="O25" s="3" t="s">
        <v>83</v>
      </c>
      <c r="P25" s="3" t="s">
        <v>97</v>
      </c>
      <c r="Q25" s="3" t="s">
        <v>257</v>
      </c>
      <c r="R25" s="3" t="s">
        <v>258</v>
      </c>
      <c r="S25" s="3"/>
    </row>
    <row r="26" spans="1:19" ht="70.05" customHeight="1" x14ac:dyDescent="0.3">
      <c r="A26" s="3" t="s">
        <v>282</v>
      </c>
      <c r="B26" s="3" t="s">
        <v>212</v>
      </c>
      <c r="C26" s="3" t="s">
        <v>213</v>
      </c>
      <c r="D26" s="3" t="s">
        <v>214</v>
      </c>
      <c r="E26" s="3" t="s">
        <v>81</v>
      </c>
      <c r="F26" s="3">
        <v>3</v>
      </c>
      <c r="G26" s="3">
        <v>3</v>
      </c>
      <c r="H26" s="3">
        <f t="shared" si="0"/>
        <v>9</v>
      </c>
      <c r="I26" s="3" t="str">
        <f t="shared" si="1"/>
        <v>Medium</v>
      </c>
      <c r="J26" s="3" t="s">
        <v>83</v>
      </c>
      <c r="K26" s="3" t="s">
        <v>85</v>
      </c>
      <c r="L26" s="3" t="s">
        <v>85</v>
      </c>
      <c r="M26" s="3" t="s">
        <v>85</v>
      </c>
      <c r="N26" s="3" t="s">
        <v>85</v>
      </c>
      <c r="O26" s="3" t="s">
        <v>83</v>
      </c>
      <c r="P26" s="3" t="s">
        <v>97</v>
      </c>
      <c r="Q26" s="3" t="s">
        <v>257</v>
      </c>
      <c r="R26" s="3" t="s">
        <v>258</v>
      </c>
      <c r="S26" s="3"/>
    </row>
    <row r="27" spans="1:19" ht="70.05" customHeight="1" x14ac:dyDescent="0.3">
      <c r="A27" s="3" t="s">
        <v>283</v>
      </c>
      <c r="B27" s="3" t="s">
        <v>217</v>
      </c>
      <c r="C27" s="3" t="s">
        <v>218</v>
      </c>
      <c r="D27" s="3" t="s">
        <v>219</v>
      </c>
      <c r="E27" s="3" t="s">
        <v>81</v>
      </c>
      <c r="F27" s="3">
        <v>3</v>
      </c>
      <c r="G27" s="3">
        <v>3</v>
      </c>
      <c r="H27" s="3">
        <f t="shared" si="0"/>
        <v>9</v>
      </c>
      <c r="I27" s="3" t="str">
        <f t="shared" si="1"/>
        <v>Medium</v>
      </c>
      <c r="J27" s="3" t="s">
        <v>83</v>
      </c>
      <c r="K27" s="3" t="s">
        <v>85</v>
      </c>
      <c r="L27" s="3" t="s">
        <v>85</v>
      </c>
      <c r="M27" s="3" t="s">
        <v>85</v>
      </c>
      <c r="N27" s="3" t="s">
        <v>85</v>
      </c>
      <c r="O27" s="3" t="s">
        <v>83</v>
      </c>
      <c r="P27" s="3" t="s">
        <v>97</v>
      </c>
      <c r="Q27" s="3" t="s">
        <v>257</v>
      </c>
      <c r="R27" s="3" t="s">
        <v>258</v>
      </c>
      <c r="S27" s="3"/>
    </row>
    <row r="28" spans="1:19" ht="70.05" customHeight="1" x14ac:dyDescent="0.3">
      <c r="A28" s="3" t="s">
        <v>284</v>
      </c>
      <c r="B28" s="3" t="s">
        <v>222</v>
      </c>
      <c r="C28" s="3" t="s">
        <v>223</v>
      </c>
      <c r="D28" s="3" t="s">
        <v>224</v>
      </c>
      <c r="E28" s="3" t="s">
        <v>81</v>
      </c>
      <c r="F28" s="3">
        <v>3</v>
      </c>
      <c r="G28" s="3">
        <v>3</v>
      </c>
      <c r="H28" s="3">
        <f t="shared" si="0"/>
        <v>9</v>
      </c>
      <c r="I28" s="3" t="str">
        <f t="shared" si="1"/>
        <v>Medium</v>
      </c>
      <c r="J28" s="3" t="s">
        <v>83</v>
      </c>
      <c r="K28" s="3" t="s">
        <v>85</v>
      </c>
      <c r="L28" s="3" t="s">
        <v>85</v>
      </c>
      <c r="M28" s="3" t="s">
        <v>85</v>
      </c>
      <c r="N28" s="3" t="s">
        <v>85</v>
      </c>
      <c r="O28" s="3" t="s">
        <v>83</v>
      </c>
      <c r="P28" s="3" t="s">
        <v>97</v>
      </c>
      <c r="Q28" s="3" t="s">
        <v>257</v>
      </c>
      <c r="R28" s="3" t="s">
        <v>258</v>
      </c>
      <c r="S28" s="3"/>
    </row>
    <row r="29" spans="1:19" ht="70.05" customHeight="1" x14ac:dyDescent="0.3">
      <c r="A29" s="3" t="s">
        <v>285</v>
      </c>
      <c r="B29" s="3" t="s">
        <v>227</v>
      </c>
      <c r="C29" s="3" t="s">
        <v>228</v>
      </c>
      <c r="D29" s="3" t="s">
        <v>229</v>
      </c>
      <c r="E29" s="3" t="s">
        <v>81</v>
      </c>
      <c r="F29" s="3">
        <v>3</v>
      </c>
      <c r="G29" s="3">
        <v>3</v>
      </c>
      <c r="H29" s="3">
        <f t="shared" si="0"/>
        <v>9</v>
      </c>
      <c r="I29" s="3" t="str">
        <f t="shared" si="1"/>
        <v>Medium</v>
      </c>
      <c r="J29" s="3" t="s">
        <v>83</v>
      </c>
      <c r="K29" s="3" t="s">
        <v>85</v>
      </c>
      <c r="L29" s="3" t="s">
        <v>85</v>
      </c>
      <c r="M29" s="3" t="s">
        <v>85</v>
      </c>
      <c r="N29" s="3" t="s">
        <v>85</v>
      </c>
      <c r="O29" s="3" t="s">
        <v>83</v>
      </c>
      <c r="P29" s="3" t="s">
        <v>97</v>
      </c>
      <c r="Q29" s="3" t="s">
        <v>257</v>
      </c>
      <c r="R29" s="3" t="s">
        <v>258</v>
      </c>
      <c r="S29" s="3"/>
    </row>
    <row r="30" spans="1:19" ht="70.05" customHeight="1" x14ac:dyDescent="0.3">
      <c r="A30" s="3" t="s">
        <v>286</v>
      </c>
      <c r="B30" s="3" t="s">
        <v>232</v>
      </c>
      <c r="C30" s="3" t="s">
        <v>233</v>
      </c>
      <c r="D30" s="3" t="s">
        <v>234</v>
      </c>
      <c r="E30" s="3" t="s">
        <v>81</v>
      </c>
      <c r="F30" s="3">
        <v>3</v>
      </c>
      <c r="G30" s="3">
        <v>3</v>
      </c>
      <c r="H30" s="3">
        <f t="shared" si="0"/>
        <v>9</v>
      </c>
      <c r="I30" s="3" t="str">
        <f t="shared" si="1"/>
        <v>Medium</v>
      </c>
      <c r="J30" s="3" t="s">
        <v>83</v>
      </c>
      <c r="K30" s="3" t="s">
        <v>85</v>
      </c>
      <c r="L30" s="3" t="s">
        <v>85</v>
      </c>
      <c r="M30" s="3" t="s">
        <v>85</v>
      </c>
      <c r="N30" s="3" t="s">
        <v>85</v>
      </c>
      <c r="O30" s="3" t="s">
        <v>83</v>
      </c>
      <c r="P30" s="3" t="s">
        <v>97</v>
      </c>
      <c r="Q30" s="3" t="s">
        <v>257</v>
      </c>
      <c r="R30" s="3" t="s">
        <v>258</v>
      </c>
      <c r="S30" s="3"/>
    </row>
    <row r="31" spans="1:19" ht="70.05" customHeight="1" x14ac:dyDescent="0.3">
      <c r="A31" s="3" t="s">
        <v>287</v>
      </c>
      <c r="B31" s="3" t="s">
        <v>237</v>
      </c>
      <c r="C31" s="3" t="s">
        <v>238</v>
      </c>
      <c r="D31" s="3" t="s">
        <v>239</v>
      </c>
      <c r="E31" s="3" t="s">
        <v>81</v>
      </c>
      <c r="F31" s="3">
        <v>3</v>
      </c>
      <c r="G31" s="3">
        <v>3</v>
      </c>
      <c r="H31" s="3">
        <f t="shared" si="0"/>
        <v>9</v>
      </c>
      <c r="I31" s="3" t="str">
        <f t="shared" si="1"/>
        <v>Medium</v>
      </c>
      <c r="J31" s="3" t="s">
        <v>83</v>
      </c>
      <c r="K31" s="3" t="s">
        <v>85</v>
      </c>
      <c r="L31" s="3" t="s">
        <v>85</v>
      </c>
      <c r="M31" s="3" t="s">
        <v>85</v>
      </c>
      <c r="N31" s="3" t="s">
        <v>85</v>
      </c>
      <c r="O31" s="3" t="s">
        <v>83</v>
      </c>
      <c r="P31" s="3" t="s">
        <v>97</v>
      </c>
      <c r="Q31" s="3" t="s">
        <v>257</v>
      </c>
      <c r="R31" s="3" t="s">
        <v>258</v>
      </c>
      <c r="S31" s="3"/>
    </row>
  </sheetData>
  <conditionalFormatting sqref="I2:I31">
    <cfRule type="cellIs" dxfId="108" priority="1" operator="equal">
      <formula>"Critical"</formula>
    </cfRule>
    <cfRule type="cellIs" dxfId="107" priority="2" operator="equal">
      <formula>"High"</formula>
    </cfRule>
    <cfRule type="cellIs" dxfId="106" priority="3" operator="equal">
      <formula>"Medium"</formula>
    </cfRule>
    <cfRule type="cellIs" dxfId="105" priority="4" operator="equal">
      <formula>"Low"</formula>
    </cfRule>
  </conditionalFormatting>
  <dataValidations count="6">
    <dataValidation type="list" allowBlank="1" sqref="E2:E31" xr:uid="{00000000-0002-0000-0300-000000000000}">
      <formula1>"None,Low,Medium,High,Critical"</formula1>
    </dataValidation>
    <dataValidation type="list" allowBlank="1" sqref="F2:G31" xr:uid="{00000000-0002-0000-0300-000001000000}">
      <formula1>"1,2,3,4,5"</formula1>
    </dataValidation>
    <dataValidation type="list" allowBlank="1" sqref="K2:K31" xr:uid="{00000000-0002-0000-0300-000003000000}">
      <formula1>"Yes,No,Pending"</formula1>
    </dataValidation>
    <dataValidation type="list" allowBlank="1" sqref="L2:N31" xr:uid="{00000000-0002-0000-0300-000004000000}">
      <formula1>"High,Medium,Low,None,Pending"</formula1>
    </dataValidation>
    <dataValidation type="list" allowBlank="1" sqref="O2:O31" xr:uid="{00000000-0002-0000-0300-000007000000}">
      <formula1>"Critical,High,Medium,Low,Pending"</formula1>
    </dataValidation>
    <dataValidation type="list" allowBlank="1" sqref="P2:P31" xr:uid="{00000000-0002-0000-0300-000008000000}">
      <formula1>"Executive,Senior Management,GRC Manager,Business Owner,Standard"</formula1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D7D31"/>
  </sheetPr>
  <dimension ref="A1:N181"/>
  <sheetViews>
    <sheetView showGridLines="0" workbookViewId="0">
      <pane ySplit="1" topLeftCell="A2" activePane="bottomLeft" state="frozen"/>
      <selection pane="bottomLeft" activeCell="E6" sqref="A2:N181"/>
    </sheetView>
  </sheetViews>
  <sheetFormatPr defaultRowHeight="14.4" x14ac:dyDescent="0.3"/>
  <cols>
    <col min="1" max="1" width="17" customWidth="1"/>
    <col min="2" max="2" width="16" customWidth="1"/>
    <col min="3" max="3" width="13" customWidth="1"/>
    <col min="4" max="4" width="30" customWidth="1"/>
    <col min="5" max="5" width="28" customWidth="1"/>
    <col min="6" max="7" width="35" customWidth="1"/>
    <col min="8" max="8" width="15" customWidth="1"/>
    <col min="9" max="10" width="16" customWidth="1"/>
    <col min="11" max="11" width="18" customWidth="1"/>
    <col min="12" max="12" width="35" customWidth="1"/>
    <col min="13" max="13" width="24" customWidth="1"/>
    <col min="14" max="14" width="45" customWidth="1"/>
  </cols>
  <sheetData>
    <row r="1" spans="1:14" ht="46.05" customHeight="1" x14ac:dyDescent="0.3">
      <c r="A1" s="5" t="s">
        <v>288</v>
      </c>
      <c r="B1" s="5" t="s">
        <v>36</v>
      </c>
      <c r="C1" s="5" t="s">
        <v>37</v>
      </c>
      <c r="D1" s="5" t="s">
        <v>38</v>
      </c>
      <c r="E1" s="5" t="s">
        <v>289</v>
      </c>
      <c r="F1" s="5" t="s">
        <v>290</v>
      </c>
      <c r="G1" s="5" t="s">
        <v>291</v>
      </c>
      <c r="H1" s="5" t="s">
        <v>292</v>
      </c>
      <c r="I1" s="5" t="s">
        <v>293</v>
      </c>
      <c r="J1" s="5" t="s">
        <v>294</v>
      </c>
      <c r="K1" s="5" t="s">
        <v>8</v>
      </c>
      <c r="L1" s="5" t="s">
        <v>295</v>
      </c>
      <c r="M1" s="5" t="s">
        <v>27</v>
      </c>
      <c r="N1" s="5" t="s">
        <v>72</v>
      </c>
    </row>
    <row r="2" spans="1:14" ht="55.05" customHeight="1" x14ac:dyDescent="0.3">
      <c r="A2" s="3" t="s">
        <v>296</v>
      </c>
      <c r="B2" s="3" t="s">
        <v>73</v>
      </c>
      <c r="C2" s="3" t="s">
        <v>74</v>
      </c>
      <c r="D2" s="3" t="s">
        <v>75</v>
      </c>
      <c r="E2" s="3" t="s">
        <v>297</v>
      </c>
      <c r="F2" s="3" t="s">
        <v>298</v>
      </c>
      <c r="G2" s="3" t="s">
        <v>299</v>
      </c>
      <c r="H2" s="3" t="s">
        <v>85</v>
      </c>
      <c r="I2" s="3"/>
      <c r="J2" s="3"/>
      <c r="K2" s="3" t="s">
        <v>85</v>
      </c>
      <c r="L2" s="3"/>
      <c r="M2" s="3" t="s">
        <v>300</v>
      </c>
      <c r="N2" s="3" t="s">
        <v>301</v>
      </c>
    </row>
    <row r="3" spans="1:14" ht="55.05" customHeight="1" x14ac:dyDescent="0.3">
      <c r="A3" s="3" t="s">
        <v>302</v>
      </c>
      <c r="B3" s="3" t="s">
        <v>73</v>
      </c>
      <c r="C3" s="3" t="s">
        <v>74</v>
      </c>
      <c r="D3" s="3" t="s">
        <v>75</v>
      </c>
      <c r="E3" s="3" t="s">
        <v>303</v>
      </c>
      <c r="F3" s="3" t="s">
        <v>298</v>
      </c>
      <c r="G3" s="3" t="s">
        <v>299</v>
      </c>
      <c r="H3" s="3" t="s">
        <v>85</v>
      </c>
      <c r="I3" s="3"/>
      <c r="J3" s="3"/>
      <c r="K3" s="3" t="s">
        <v>85</v>
      </c>
      <c r="L3" s="3"/>
      <c r="M3" s="3" t="s">
        <v>300</v>
      </c>
      <c r="N3" s="3" t="s">
        <v>301</v>
      </c>
    </row>
    <row r="4" spans="1:14" ht="55.05" customHeight="1" x14ac:dyDescent="0.3">
      <c r="A4" s="3" t="s">
        <v>304</v>
      </c>
      <c r="B4" s="3" t="s">
        <v>73</v>
      </c>
      <c r="C4" s="3" t="s">
        <v>74</v>
      </c>
      <c r="D4" s="3" t="s">
        <v>75</v>
      </c>
      <c r="E4" s="3" t="s">
        <v>305</v>
      </c>
      <c r="F4" s="3" t="s">
        <v>298</v>
      </c>
      <c r="G4" s="3" t="s">
        <v>299</v>
      </c>
      <c r="H4" s="3" t="s">
        <v>85</v>
      </c>
      <c r="I4" s="3"/>
      <c r="J4" s="3"/>
      <c r="K4" s="3" t="s">
        <v>85</v>
      </c>
      <c r="L4" s="3"/>
      <c r="M4" s="3" t="s">
        <v>300</v>
      </c>
      <c r="N4" s="3" t="s">
        <v>301</v>
      </c>
    </row>
    <row r="5" spans="1:14" ht="55.05" customHeight="1" x14ac:dyDescent="0.3">
      <c r="A5" s="3" t="s">
        <v>306</v>
      </c>
      <c r="B5" s="3" t="s">
        <v>73</v>
      </c>
      <c r="C5" s="3" t="s">
        <v>74</v>
      </c>
      <c r="D5" s="3" t="s">
        <v>75</v>
      </c>
      <c r="E5" s="3" t="s">
        <v>307</v>
      </c>
      <c r="F5" s="3" t="s">
        <v>298</v>
      </c>
      <c r="G5" s="3" t="s">
        <v>299</v>
      </c>
      <c r="H5" s="3" t="s">
        <v>85</v>
      </c>
      <c r="I5" s="3"/>
      <c r="J5" s="3"/>
      <c r="K5" s="3" t="s">
        <v>85</v>
      </c>
      <c r="L5" s="3"/>
      <c r="M5" s="3" t="s">
        <v>300</v>
      </c>
      <c r="N5" s="3" t="s">
        <v>301</v>
      </c>
    </row>
    <row r="6" spans="1:14" ht="55.05" customHeight="1" x14ac:dyDescent="0.3">
      <c r="A6" s="3" t="s">
        <v>308</v>
      </c>
      <c r="B6" s="3" t="s">
        <v>73</v>
      </c>
      <c r="C6" s="3" t="s">
        <v>74</v>
      </c>
      <c r="D6" s="3" t="s">
        <v>75</v>
      </c>
      <c r="E6" s="3" t="s">
        <v>309</v>
      </c>
      <c r="F6" s="3" t="s">
        <v>298</v>
      </c>
      <c r="G6" s="3" t="s">
        <v>299</v>
      </c>
      <c r="H6" s="3" t="s">
        <v>85</v>
      </c>
      <c r="I6" s="3"/>
      <c r="J6" s="3"/>
      <c r="K6" s="3" t="s">
        <v>85</v>
      </c>
      <c r="L6" s="3"/>
      <c r="M6" s="3" t="s">
        <v>300</v>
      </c>
      <c r="N6" s="3" t="s">
        <v>301</v>
      </c>
    </row>
    <row r="7" spans="1:14" ht="55.05" customHeight="1" x14ac:dyDescent="0.3">
      <c r="A7" s="3" t="s">
        <v>310</v>
      </c>
      <c r="B7" s="3" t="s">
        <v>73</v>
      </c>
      <c r="C7" s="3" t="s">
        <v>74</v>
      </c>
      <c r="D7" s="3" t="s">
        <v>75</v>
      </c>
      <c r="E7" s="3" t="s">
        <v>311</v>
      </c>
      <c r="F7" s="3" t="s">
        <v>298</v>
      </c>
      <c r="G7" s="3" t="s">
        <v>299</v>
      </c>
      <c r="H7" s="3" t="s">
        <v>85</v>
      </c>
      <c r="I7" s="3"/>
      <c r="J7" s="3"/>
      <c r="K7" s="3" t="s">
        <v>85</v>
      </c>
      <c r="L7" s="3"/>
      <c r="M7" s="3" t="s">
        <v>300</v>
      </c>
      <c r="N7" s="3" t="s">
        <v>301</v>
      </c>
    </row>
    <row r="8" spans="1:14" ht="55.05" customHeight="1" x14ac:dyDescent="0.3">
      <c r="A8" s="3" t="s">
        <v>312</v>
      </c>
      <c r="B8" s="3" t="s">
        <v>93</v>
      </c>
      <c r="C8" s="3" t="s">
        <v>94</v>
      </c>
      <c r="D8" s="3" t="s">
        <v>95</v>
      </c>
      <c r="E8" s="3" t="s">
        <v>297</v>
      </c>
      <c r="F8" s="3" t="s">
        <v>298</v>
      </c>
      <c r="G8" s="3" t="s">
        <v>299</v>
      </c>
      <c r="H8" s="3" t="s">
        <v>85</v>
      </c>
      <c r="I8" s="3"/>
      <c r="J8" s="3"/>
      <c r="K8" s="3" t="s">
        <v>85</v>
      </c>
      <c r="L8" s="3"/>
      <c r="M8" s="3" t="s">
        <v>300</v>
      </c>
      <c r="N8" s="3" t="s">
        <v>301</v>
      </c>
    </row>
    <row r="9" spans="1:14" ht="55.05" customHeight="1" x14ac:dyDescent="0.3">
      <c r="A9" s="3" t="s">
        <v>313</v>
      </c>
      <c r="B9" s="3" t="s">
        <v>93</v>
      </c>
      <c r="C9" s="3" t="s">
        <v>94</v>
      </c>
      <c r="D9" s="3" t="s">
        <v>95</v>
      </c>
      <c r="E9" s="3" t="s">
        <v>303</v>
      </c>
      <c r="F9" s="3" t="s">
        <v>298</v>
      </c>
      <c r="G9" s="3" t="s">
        <v>299</v>
      </c>
      <c r="H9" s="3" t="s">
        <v>85</v>
      </c>
      <c r="I9" s="3"/>
      <c r="J9" s="3"/>
      <c r="K9" s="3" t="s">
        <v>85</v>
      </c>
      <c r="L9" s="3"/>
      <c r="M9" s="3" t="s">
        <v>300</v>
      </c>
      <c r="N9" s="3" t="s">
        <v>301</v>
      </c>
    </row>
    <row r="10" spans="1:14" ht="55.05" customHeight="1" x14ac:dyDescent="0.3">
      <c r="A10" s="3" t="s">
        <v>314</v>
      </c>
      <c r="B10" s="3" t="s">
        <v>93</v>
      </c>
      <c r="C10" s="3" t="s">
        <v>94</v>
      </c>
      <c r="D10" s="3" t="s">
        <v>95</v>
      </c>
      <c r="E10" s="3" t="s">
        <v>305</v>
      </c>
      <c r="F10" s="3" t="s">
        <v>298</v>
      </c>
      <c r="G10" s="3" t="s">
        <v>299</v>
      </c>
      <c r="H10" s="3" t="s">
        <v>85</v>
      </c>
      <c r="I10" s="3"/>
      <c r="J10" s="3"/>
      <c r="K10" s="3" t="s">
        <v>85</v>
      </c>
      <c r="L10" s="3"/>
      <c r="M10" s="3" t="s">
        <v>300</v>
      </c>
      <c r="N10" s="3" t="s">
        <v>301</v>
      </c>
    </row>
    <row r="11" spans="1:14" ht="55.05" customHeight="1" x14ac:dyDescent="0.3">
      <c r="A11" s="3" t="s">
        <v>315</v>
      </c>
      <c r="B11" s="3" t="s">
        <v>93</v>
      </c>
      <c r="C11" s="3" t="s">
        <v>94</v>
      </c>
      <c r="D11" s="3" t="s">
        <v>95</v>
      </c>
      <c r="E11" s="3" t="s">
        <v>307</v>
      </c>
      <c r="F11" s="3" t="s">
        <v>298</v>
      </c>
      <c r="G11" s="3" t="s">
        <v>299</v>
      </c>
      <c r="H11" s="3" t="s">
        <v>85</v>
      </c>
      <c r="I11" s="3"/>
      <c r="J11" s="3"/>
      <c r="K11" s="3" t="s">
        <v>85</v>
      </c>
      <c r="L11" s="3"/>
      <c r="M11" s="3" t="s">
        <v>300</v>
      </c>
      <c r="N11" s="3" t="s">
        <v>301</v>
      </c>
    </row>
    <row r="12" spans="1:14" ht="55.05" customHeight="1" x14ac:dyDescent="0.3">
      <c r="A12" s="3" t="s">
        <v>316</v>
      </c>
      <c r="B12" s="3" t="s">
        <v>93</v>
      </c>
      <c r="C12" s="3" t="s">
        <v>94</v>
      </c>
      <c r="D12" s="3" t="s">
        <v>95</v>
      </c>
      <c r="E12" s="3" t="s">
        <v>309</v>
      </c>
      <c r="F12" s="3" t="s">
        <v>298</v>
      </c>
      <c r="G12" s="3" t="s">
        <v>299</v>
      </c>
      <c r="H12" s="3" t="s">
        <v>85</v>
      </c>
      <c r="I12" s="3"/>
      <c r="J12" s="3"/>
      <c r="K12" s="3" t="s">
        <v>85</v>
      </c>
      <c r="L12" s="3"/>
      <c r="M12" s="3" t="s">
        <v>300</v>
      </c>
      <c r="N12" s="3" t="s">
        <v>301</v>
      </c>
    </row>
    <row r="13" spans="1:14" ht="55.05" customHeight="1" x14ac:dyDescent="0.3">
      <c r="A13" s="3" t="s">
        <v>317</v>
      </c>
      <c r="B13" s="3" t="s">
        <v>93</v>
      </c>
      <c r="C13" s="3" t="s">
        <v>94</v>
      </c>
      <c r="D13" s="3" t="s">
        <v>95</v>
      </c>
      <c r="E13" s="3" t="s">
        <v>311</v>
      </c>
      <c r="F13" s="3" t="s">
        <v>298</v>
      </c>
      <c r="G13" s="3" t="s">
        <v>299</v>
      </c>
      <c r="H13" s="3" t="s">
        <v>85</v>
      </c>
      <c r="I13" s="3"/>
      <c r="J13" s="3"/>
      <c r="K13" s="3" t="s">
        <v>85</v>
      </c>
      <c r="L13" s="3"/>
      <c r="M13" s="3" t="s">
        <v>300</v>
      </c>
      <c r="N13" s="3" t="s">
        <v>301</v>
      </c>
    </row>
    <row r="14" spans="1:14" ht="55.05" customHeight="1" x14ac:dyDescent="0.3">
      <c r="A14" s="3" t="s">
        <v>318</v>
      </c>
      <c r="B14" s="3" t="s">
        <v>100</v>
      </c>
      <c r="C14" s="3" t="s">
        <v>101</v>
      </c>
      <c r="D14" s="3" t="s">
        <v>102</v>
      </c>
      <c r="E14" s="3" t="s">
        <v>297</v>
      </c>
      <c r="F14" s="3" t="s">
        <v>298</v>
      </c>
      <c r="G14" s="3" t="s">
        <v>299</v>
      </c>
      <c r="H14" s="3" t="s">
        <v>85</v>
      </c>
      <c r="I14" s="3"/>
      <c r="J14" s="3"/>
      <c r="K14" s="3" t="s">
        <v>85</v>
      </c>
      <c r="L14" s="3"/>
      <c r="M14" s="3" t="s">
        <v>300</v>
      </c>
      <c r="N14" s="3" t="s">
        <v>301</v>
      </c>
    </row>
    <row r="15" spans="1:14" ht="55.05" customHeight="1" x14ac:dyDescent="0.3">
      <c r="A15" s="3" t="s">
        <v>319</v>
      </c>
      <c r="B15" s="3" t="s">
        <v>100</v>
      </c>
      <c r="C15" s="3" t="s">
        <v>101</v>
      </c>
      <c r="D15" s="3" t="s">
        <v>102</v>
      </c>
      <c r="E15" s="3" t="s">
        <v>303</v>
      </c>
      <c r="F15" s="3" t="s">
        <v>298</v>
      </c>
      <c r="G15" s="3" t="s">
        <v>299</v>
      </c>
      <c r="H15" s="3" t="s">
        <v>85</v>
      </c>
      <c r="I15" s="3"/>
      <c r="J15" s="3"/>
      <c r="K15" s="3" t="s">
        <v>85</v>
      </c>
      <c r="L15" s="3"/>
      <c r="M15" s="3" t="s">
        <v>300</v>
      </c>
      <c r="N15" s="3" t="s">
        <v>301</v>
      </c>
    </row>
    <row r="16" spans="1:14" ht="55.05" customHeight="1" x14ac:dyDescent="0.3">
      <c r="A16" s="3" t="s">
        <v>320</v>
      </c>
      <c r="B16" s="3" t="s">
        <v>100</v>
      </c>
      <c r="C16" s="3" t="s">
        <v>101</v>
      </c>
      <c r="D16" s="3" t="s">
        <v>102</v>
      </c>
      <c r="E16" s="3" t="s">
        <v>305</v>
      </c>
      <c r="F16" s="3" t="s">
        <v>298</v>
      </c>
      <c r="G16" s="3" t="s">
        <v>299</v>
      </c>
      <c r="H16" s="3" t="s">
        <v>85</v>
      </c>
      <c r="I16" s="3"/>
      <c r="J16" s="3"/>
      <c r="K16" s="3" t="s">
        <v>85</v>
      </c>
      <c r="L16" s="3"/>
      <c r="M16" s="3" t="s">
        <v>300</v>
      </c>
      <c r="N16" s="3" t="s">
        <v>301</v>
      </c>
    </row>
    <row r="17" spans="1:14" ht="55.05" customHeight="1" x14ac:dyDescent="0.3">
      <c r="A17" s="3" t="s">
        <v>321</v>
      </c>
      <c r="B17" s="3" t="s">
        <v>100</v>
      </c>
      <c r="C17" s="3" t="s">
        <v>101</v>
      </c>
      <c r="D17" s="3" t="s">
        <v>102</v>
      </c>
      <c r="E17" s="3" t="s">
        <v>307</v>
      </c>
      <c r="F17" s="3" t="s">
        <v>298</v>
      </c>
      <c r="G17" s="3" t="s">
        <v>299</v>
      </c>
      <c r="H17" s="3" t="s">
        <v>85</v>
      </c>
      <c r="I17" s="3"/>
      <c r="J17" s="3"/>
      <c r="K17" s="3" t="s">
        <v>85</v>
      </c>
      <c r="L17" s="3"/>
      <c r="M17" s="3" t="s">
        <v>300</v>
      </c>
      <c r="N17" s="3" t="s">
        <v>301</v>
      </c>
    </row>
    <row r="18" spans="1:14" ht="55.05" customHeight="1" x14ac:dyDescent="0.3">
      <c r="A18" s="3" t="s">
        <v>322</v>
      </c>
      <c r="B18" s="3" t="s">
        <v>100</v>
      </c>
      <c r="C18" s="3" t="s">
        <v>101</v>
      </c>
      <c r="D18" s="3" t="s">
        <v>102</v>
      </c>
      <c r="E18" s="3" t="s">
        <v>309</v>
      </c>
      <c r="F18" s="3" t="s">
        <v>298</v>
      </c>
      <c r="G18" s="3" t="s">
        <v>299</v>
      </c>
      <c r="H18" s="3" t="s">
        <v>85</v>
      </c>
      <c r="I18" s="3"/>
      <c r="J18" s="3"/>
      <c r="K18" s="3" t="s">
        <v>85</v>
      </c>
      <c r="L18" s="3"/>
      <c r="M18" s="3" t="s">
        <v>300</v>
      </c>
      <c r="N18" s="3" t="s">
        <v>301</v>
      </c>
    </row>
    <row r="19" spans="1:14" ht="55.05" customHeight="1" x14ac:dyDescent="0.3">
      <c r="A19" s="3" t="s">
        <v>323</v>
      </c>
      <c r="B19" s="3" t="s">
        <v>100</v>
      </c>
      <c r="C19" s="3" t="s">
        <v>101</v>
      </c>
      <c r="D19" s="3" t="s">
        <v>102</v>
      </c>
      <c r="E19" s="3" t="s">
        <v>311</v>
      </c>
      <c r="F19" s="3" t="s">
        <v>298</v>
      </c>
      <c r="G19" s="3" t="s">
        <v>299</v>
      </c>
      <c r="H19" s="3" t="s">
        <v>85</v>
      </c>
      <c r="I19" s="3"/>
      <c r="J19" s="3"/>
      <c r="K19" s="3" t="s">
        <v>85</v>
      </c>
      <c r="L19" s="3"/>
      <c r="M19" s="3" t="s">
        <v>300</v>
      </c>
      <c r="N19" s="3" t="s">
        <v>301</v>
      </c>
    </row>
    <row r="20" spans="1:14" ht="55.05" customHeight="1" x14ac:dyDescent="0.3">
      <c r="A20" s="3" t="s">
        <v>324</v>
      </c>
      <c r="B20" s="3" t="s">
        <v>105</v>
      </c>
      <c r="C20" s="3" t="s">
        <v>106</v>
      </c>
      <c r="D20" s="3" t="s">
        <v>107</v>
      </c>
      <c r="E20" s="3" t="s">
        <v>297</v>
      </c>
      <c r="F20" s="3" t="s">
        <v>298</v>
      </c>
      <c r="G20" s="3" t="s">
        <v>299</v>
      </c>
      <c r="H20" s="3" t="s">
        <v>85</v>
      </c>
      <c r="I20" s="3"/>
      <c r="J20" s="3"/>
      <c r="K20" s="3" t="s">
        <v>85</v>
      </c>
      <c r="L20" s="3"/>
      <c r="M20" s="3" t="s">
        <v>300</v>
      </c>
      <c r="N20" s="3" t="s">
        <v>301</v>
      </c>
    </row>
    <row r="21" spans="1:14" ht="55.05" customHeight="1" x14ac:dyDescent="0.3">
      <c r="A21" s="3" t="s">
        <v>325</v>
      </c>
      <c r="B21" s="3" t="s">
        <v>105</v>
      </c>
      <c r="C21" s="3" t="s">
        <v>106</v>
      </c>
      <c r="D21" s="3" t="s">
        <v>107</v>
      </c>
      <c r="E21" s="3" t="s">
        <v>303</v>
      </c>
      <c r="F21" s="3" t="s">
        <v>298</v>
      </c>
      <c r="G21" s="3" t="s">
        <v>299</v>
      </c>
      <c r="H21" s="3" t="s">
        <v>85</v>
      </c>
      <c r="I21" s="3"/>
      <c r="J21" s="3"/>
      <c r="K21" s="3" t="s">
        <v>85</v>
      </c>
      <c r="L21" s="3"/>
      <c r="M21" s="3" t="s">
        <v>300</v>
      </c>
      <c r="N21" s="3" t="s">
        <v>301</v>
      </c>
    </row>
    <row r="22" spans="1:14" ht="55.05" customHeight="1" x14ac:dyDescent="0.3">
      <c r="A22" s="3" t="s">
        <v>326</v>
      </c>
      <c r="B22" s="3" t="s">
        <v>105</v>
      </c>
      <c r="C22" s="3" t="s">
        <v>106</v>
      </c>
      <c r="D22" s="3" t="s">
        <v>107</v>
      </c>
      <c r="E22" s="3" t="s">
        <v>305</v>
      </c>
      <c r="F22" s="3" t="s">
        <v>298</v>
      </c>
      <c r="G22" s="3" t="s">
        <v>299</v>
      </c>
      <c r="H22" s="3" t="s">
        <v>85</v>
      </c>
      <c r="I22" s="3"/>
      <c r="J22" s="3"/>
      <c r="K22" s="3" t="s">
        <v>85</v>
      </c>
      <c r="L22" s="3"/>
      <c r="M22" s="3" t="s">
        <v>300</v>
      </c>
      <c r="N22" s="3" t="s">
        <v>301</v>
      </c>
    </row>
    <row r="23" spans="1:14" ht="55.05" customHeight="1" x14ac:dyDescent="0.3">
      <c r="A23" s="3" t="s">
        <v>327</v>
      </c>
      <c r="B23" s="3" t="s">
        <v>105</v>
      </c>
      <c r="C23" s="3" t="s">
        <v>106</v>
      </c>
      <c r="D23" s="3" t="s">
        <v>107</v>
      </c>
      <c r="E23" s="3" t="s">
        <v>307</v>
      </c>
      <c r="F23" s="3" t="s">
        <v>298</v>
      </c>
      <c r="G23" s="3" t="s">
        <v>299</v>
      </c>
      <c r="H23" s="3" t="s">
        <v>85</v>
      </c>
      <c r="I23" s="3"/>
      <c r="J23" s="3"/>
      <c r="K23" s="3" t="s">
        <v>85</v>
      </c>
      <c r="L23" s="3"/>
      <c r="M23" s="3" t="s">
        <v>300</v>
      </c>
      <c r="N23" s="3" t="s">
        <v>301</v>
      </c>
    </row>
    <row r="24" spans="1:14" ht="55.05" customHeight="1" x14ac:dyDescent="0.3">
      <c r="A24" s="3" t="s">
        <v>328</v>
      </c>
      <c r="B24" s="3" t="s">
        <v>105</v>
      </c>
      <c r="C24" s="3" t="s">
        <v>106</v>
      </c>
      <c r="D24" s="3" t="s">
        <v>107</v>
      </c>
      <c r="E24" s="3" t="s">
        <v>309</v>
      </c>
      <c r="F24" s="3" t="s">
        <v>298</v>
      </c>
      <c r="G24" s="3" t="s">
        <v>299</v>
      </c>
      <c r="H24" s="3" t="s">
        <v>85</v>
      </c>
      <c r="I24" s="3"/>
      <c r="J24" s="3"/>
      <c r="K24" s="3" t="s">
        <v>85</v>
      </c>
      <c r="L24" s="3"/>
      <c r="M24" s="3" t="s">
        <v>300</v>
      </c>
      <c r="N24" s="3" t="s">
        <v>301</v>
      </c>
    </row>
    <row r="25" spans="1:14" ht="55.05" customHeight="1" x14ac:dyDescent="0.3">
      <c r="A25" s="3" t="s">
        <v>329</v>
      </c>
      <c r="B25" s="3" t="s">
        <v>105</v>
      </c>
      <c r="C25" s="3" t="s">
        <v>106</v>
      </c>
      <c r="D25" s="3" t="s">
        <v>107</v>
      </c>
      <c r="E25" s="3" t="s">
        <v>311</v>
      </c>
      <c r="F25" s="3" t="s">
        <v>298</v>
      </c>
      <c r="G25" s="3" t="s">
        <v>299</v>
      </c>
      <c r="H25" s="3" t="s">
        <v>85</v>
      </c>
      <c r="I25" s="3"/>
      <c r="J25" s="3"/>
      <c r="K25" s="3" t="s">
        <v>85</v>
      </c>
      <c r="L25" s="3"/>
      <c r="M25" s="3" t="s">
        <v>300</v>
      </c>
      <c r="N25" s="3" t="s">
        <v>301</v>
      </c>
    </row>
    <row r="26" spans="1:14" ht="55.05" customHeight="1" x14ac:dyDescent="0.3">
      <c r="A26" s="3" t="s">
        <v>330</v>
      </c>
      <c r="B26" s="3" t="s">
        <v>110</v>
      </c>
      <c r="C26" s="3" t="s">
        <v>111</v>
      </c>
      <c r="D26" s="3" t="s">
        <v>112</v>
      </c>
      <c r="E26" s="3" t="s">
        <v>297</v>
      </c>
      <c r="F26" s="3" t="s">
        <v>298</v>
      </c>
      <c r="G26" s="3" t="s">
        <v>299</v>
      </c>
      <c r="H26" s="3" t="s">
        <v>85</v>
      </c>
      <c r="I26" s="3"/>
      <c r="J26" s="3"/>
      <c r="K26" s="3" t="s">
        <v>85</v>
      </c>
      <c r="L26" s="3"/>
      <c r="M26" s="3" t="s">
        <v>300</v>
      </c>
      <c r="N26" s="3" t="s">
        <v>301</v>
      </c>
    </row>
    <row r="27" spans="1:14" ht="55.05" customHeight="1" x14ac:dyDescent="0.3">
      <c r="A27" s="3" t="s">
        <v>331</v>
      </c>
      <c r="B27" s="3" t="s">
        <v>110</v>
      </c>
      <c r="C27" s="3" t="s">
        <v>111</v>
      </c>
      <c r="D27" s="3" t="s">
        <v>112</v>
      </c>
      <c r="E27" s="3" t="s">
        <v>303</v>
      </c>
      <c r="F27" s="3" t="s">
        <v>298</v>
      </c>
      <c r="G27" s="3" t="s">
        <v>299</v>
      </c>
      <c r="H27" s="3" t="s">
        <v>85</v>
      </c>
      <c r="I27" s="3"/>
      <c r="J27" s="3"/>
      <c r="K27" s="3" t="s">
        <v>85</v>
      </c>
      <c r="L27" s="3"/>
      <c r="M27" s="3" t="s">
        <v>300</v>
      </c>
      <c r="N27" s="3" t="s">
        <v>301</v>
      </c>
    </row>
    <row r="28" spans="1:14" ht="55.05" customHeight="1" x14ac:dyDescent="0.3">
      <c r="A28" s="3" t="s">
        <v>332</v>
      </c>
      <c r="B28" s="3" t="s">
        <v>110</v>
      </c>
      <c r="C28" s="3" t="s">
        <v>111</v>
      </c>
      <c r="D28" s="3" t="s">
        <v>112</v>
      </c>
      <c r="E28" s="3" t="s">
        <v>305</v>
      </c>
      <c r="F28" s="3" t="s">
        <v>298</v>
      </c>
      <c r="G28" s="3" t="s">
        <v>299</v>
      </c>
      <c r="H28" s="3" t="s">
        <v>85</v>
      </c>
      <c r="I28" s="3"/>
      <c r="J28" s="3"/>
      <c r="K28" s="3" t="s">
        <v>85</v>
      </c>
      <c r="L28" s="3"/>
      <c r="M28" s="3" t="s">
        <v>300</v>
      </c>
      <c r="N28" s="3" t="s">
        <v>301</v>
      </c>
    </row>
    <row r="29" spans="1:14" ht="55.05" customHeight="1" x14ac:dyDescent="0.3">
      <c r="A29" s="3" t="s">
        <v>333</v>
      </c>
      <c r="B29" s="3" t="s">
        <v>110</v>
      </c>
      <c r="C29" s="3" t="s">
        <v>111</v>
      </c>
      <c r="D29" s="3" t="s">
        <v>112</v>
      </c>
      <c r="E29" s="3" t="s">
        <v>307</v>
      </c>
      <c r="F29" s="3" t="s">
        <v>298</v>
      </c>
      <c r="G29" s="3" t="s">
        <v>299</v>
      </c>
      <c r="H29" s="3" t="s">
        <v>85</v>
      </c>
      <c r="I29" s="3"/>
      <c r="J29" s="3"/>
      <c r="K29" s="3" t="s">
        <v>85</v>
      </c>
      <c r="L29" s="3"/>
      <c r="M29" s="3" t="s">
        <v>300</v>
      </c>
      <c r="N29" s="3" t="s">
        <v>301</v>
      </c>
    </row>
    <row r="30" spans="1:14" ht="55.05" customHeight="1" x14ac:dyDescent="0.3">
      <c r="A30" s="3" t="s">
        <v>334</v>
      </c>
      <c r="B30" s="3" t="s">
        <v>110</v>
      </c>
      <c r="C30" s="3" t="s">
        <v>111</v>
      </c>
      <c r="D30" s="3" t="s">
        <v>112</v>
      </c>
      <c r="E30" s="3" t="s">
        <v>309</v>
      </c>
      <c r="F30" s="3" t="s">
        <v>298</v>
      </c>
      <c r="G30" s="3" t="s">
        <v>299</v>
      </c>
      <c r="H30" s="3" t="s">
        <v>85</v>
      </c>
      <c r="I30" s="3"/>
      <c r="J30" s="3"/>
      <c r="K30" s="3" t="s">
        <v>85</v>
      </c>
      <c r="L30" s="3"/>
      <c r="M30" s="3" t="s">
        <v>300</v>
      </c>
      <c r="N30" s="3" t="s">
        <v>301</v>
      </c>
    </row>
    <row r="31" spans="1:14" ht="55.05" customHeight="1" x14ac:dyDescent="0.3">
      <c r="A31" s="3" t="s">
        <v>335</v>
      </c>
      <c r="B31" s="3" t="s">
        <v>110</v>
      </c>
      <c r="C31" s="3" t="s">
        <v>111</v>
      </c>
      <c r="D31" s="3" t="s">
        <v>112</v>
      </c>
      <c r="E31" s="3" t="s">
        <v>311</v>
      </c>
      <c r="F31" s="3" t="s">
        <v>298</v>
      </c>
      <c r="G31" s="3" t="s">
        <v>299</v>
      </c>
      <c r="H31" s="3" t="s">
        <v>85</v>
      </c>
      <c r="I31" s="3"/>
      <c r="J31" s="3"/>
      <c r="K31" s="3" t="s">
        <v>85</v>
      </c>
      <c r="L31" s="3"/>
      <c r="M31" s="3" t="s">
        <v>300</v>
      </c>
      <c r="N31" s="3" t="s">
        <v>301</v>
      </c>
    </row>
    <row r="32" spans="1:14" ht="55.05" customHeight="1" x14ac:dyDescent="0.3">
      <c r="A32" s="3" t="s">
        <v>336</v>
      </c>
      <c r="B32" s="3" t="s">
        <v>115</v>
      </c>
      <c r="C32" s="3" t="s">
        <v>116</v>
      </c>
      <c r="D32" s="3" t="s">
        <v>117</v>
      </c>
      <c r="E32" s="3" t="s">
        <v>297</v>
      </c>
      <c r="F32" s="3" t="s">
        <v>298</v>
      </c>
      <c r="G32" s="3" t="s">
        <v>299</v>
      </c>
      <c r="H32" s="3" t="s">
        <v>85</v>
      </c>
      <c r="I32" s="3"/>
      <c r="J32" s="3"/>
      <c r="K32" s="3" t="s">
        <v>85</v>
      </c>
      <c r="L32" s="3"/>
      <c r="M32" s="3" t="s">
        <v>300</v>
      </c>
      <c r="N32" s="3" t="s">
        <v>301</v>
      </c>
    </row>
    <row r="33" spans="1:14" ht="55.05" customHeight="1" x14ac:dyDescent="0.3">
      <c r="A33" s="3" t="s">
        <v>337</v>
      </c>
      <c r="B33" s="3" t="s">
        <v>115</v>
      </c>
      <c r="C33" s="3" t="s">
        <v>116</v>
      </c>
      <c r="D33" s="3" t="s">
        <v>117</v>
      </c>
      <c r="E33" s="3" t="s">
        <v>303</v>
      </c>
      <c r="F33" s="3" t="s">
        <v>298</v>
      </c>
      <c r="G33" s="3" t="s">
        <v>299</v>
      </c>
      <c r="H33" s="3" t="s">
        <v>85</v>
      </c>
      <c r="I33" s="3"/>
      <c r="J33" s="3"/>
      <c r="K33" s="3" t="s">
        <v>85</v>
      </c>
      <c r="L33" s="3"/>
      <c r="M33" s="3" t="s">
        <v>300</v>
      </c>
      <c r="N33" s="3" t="s">
        <v>301</v>
      </c>
    </row>
    <row r="34" spans="1:14" ht="55.05" customHeight="1" x14ac:dyDescent="0.3">
      <c r="A34" s="3" t="s">
        <v>338</v>
      </c>
      <c r="B34" s="3" t="s">
        <v>115</v>
      </c>
      <c r="C34" s="3" t="s">
        <v>116</v>
      </c>
      <c r="D34" s="3" t="s">
        <v>117</v>
      </c>
      <c r="E34" s="3" t="s">
        <v>305</v>
      </c>
      <c r="F34" s="3" t="s">
        <v>298</v>
      </c>
      <c r="G34" s="3" t="s">
        <v>299</v>
      </c>
      <c r="H34" s="3" t="s">
        <v>85</v>
      </c>
      <c r="I34" s="3"/>
      <c r="J34" s="3"/>
      <c r="K34" s="3" t="s">
        <v>85</v>
      </c>
      <c r="L34" s="3"/>
      <c r="M34" s="3" t="s">
        <v>300</v>
      </c>
      <c r="N34" s="3" t="s">
        <v>301</v>
      </c>
    </row>
    <row r="35" spans="1:14" ht="55.05" customHeight="1" x14ac:dyDescent="0.3">
      <c r="A35" s="3" t="s">
        <v>339</v>
      </c>
      <c r="B35" s="3" t="s">
        <v>115</v>
      </c>
      <c r="C35" s="3" t="s">
        <v>116</v>
      </c>
      <c r="D35" s="3" t="s">
        <v>117</v>
      </c>
      <c r="E35" s="3" t="s">
        <v>307</v>
      </c>
      <c r="F35" s="3" t="s">
        <v>298</v>
      </c>
      <c r="G35" s="3" t="s">
        <v>299</v>
      </c>
      <c r="H35" s="3" t="s">
        <v>85</v>
      </c>
      <c r="I35" s="3"/>
      <c r="J35" s="3"/>
      <c r="K35" s="3" t="s">
        <v>85</v>
      </c>
      <c r="L35" s="3"/>
      <c r="M35" s="3" t="s">
        <v>300</v>
      </c>
      <c r="N35" s="3" t="s">
        <v>301</v>
      </c>
    </row>
    <row r="36" spans="1:14" ht="55.05" customHeight="1" x14ac:dyDescent="0.3">
      <c r="A36" s="3" t="s">
        <v>340</v>
      </c>
      <c r="B36" s="3" t="s">
        <v>115</v>
      </c>
      <c r="C36" s="3" t="s">
        <v>116</v>
      </c>
      <c r="D36" s="3" t="s">
        <v>117</v>
      </c>
      <c r="E36" s="3" t="s">
        <v>309</v>
      </c>
      <c r="F36" s="3" t="s">
        <v>298</v>
      </c>
      <c r="G36" s="3" t="s">
        <v>299</v>
      </c>
      <c r="H36" s="3" t="s">
        <v>85</v>
      </c>
      <c r="I36" s="3"/>
      <c r="J36" s="3"/>
      <c r="K36" s="3" t="s">
        <v>85</v>
      </c>
      <c r="L36" s="3"/>
      <c r="M36" s="3" t="s">
        <v>300</v>
      </c>
      <c r="N36" s="3" t="s">
        <v>301</v>
      </c>
    </row>
    <row r="37" spans="1:14" ht="55.05" customHeight="1" x14ac:dyDescent="0.3">
      <c r="A37" s="3" t="s">
        <v>341</v>
      </c>
      <c r="B37" s="3" t="s">
        <v>115</v>
      </c>
      <c r="C37" s="3" t="s">
        <v>116</v>
      </c>
      <c r="D37" s="3" t="s">
        <v>117</v>
      </c>
      <c r="E37" s="3" t="s">
        <v>311</v>
      </c>
      <c r="F37" s="3" t="s">
        <v>298</v>
      </c>
      <c r="G37" s="3" t="s">
        <v>299</v>
      </c>
      <c r="H37" s="3" t="s">
        <v>85</v>
      </c>
      <c r="I37" s="3"/>
      <c r="J37" s="3"/>
      <c r="K37" s="3" t="s">
        <v>85</v>
      </c>
      <c r="L37" s="3"/>
      <c r="M37" s="3" t="s">
        <v>300</v>
      </c>
      <c r="N37" s="3" t="s">
        <v>301</v>
      </c>
    </row>
    <row r="38" spans="1:14" ht="55.05" customHeight="1" x14ac:dyDescent="0.3">
      <c r="A38" s="3" t="s">
        <v>342</v>
      </c>
      <c r="B38" s="3" t="s">
        <v>120</v>
      </c>
      <c r="C38" s="3" t="s">
        <v>121</v>
      </c>
      <c r="D38" s="3" t="s">
        <v>122</v>
      </c>
      <c r="E38" s="3" t="s">
        <v>297</v>
      </c>
      <c r="F38" s="3" t="s">
        <v>298</v>
      </c>
      <c r="G38" s="3" t="s">
        <v>299</v>
      </c>
      <c r="H38" s="3" t="s">
        <v>85</v>
      </c>
      <c r="I38" s="3"/>
      <c r="J38" s="3"/>
      <c r="K38" s="3" t="s">
        <v>85</v>
      </c>
      <c r="L38" s="3"/>
      <c r="M38" s="3" t="s">
        <v>300</v>
      </c>
      <c r="N38" s="3" t="s">
        <v>301</v>
      </c>
    </row>
    <row r="39" spans="1:14" ht="55.05" customHeight="1" x14ac:dyDescent="0.3">
      <c r="A39" s="3" t="s">
        <v>343</v>
      </c>
      <c r="B39" s="3" t="s">
        <v>120</v>
      </c>
      <c r="C39" s="3" t="s">
        <v>121</v>
      </c>
      <c r="D39" s="3" t="s">
        <v>122</v>
      </c>
      <c r="E39" s="3" t="s">
        <v>303</v>
      </c>
      <c r="F39" s="3" t="s">
        <v>298</v>
      </c>
      <c r="G39" s="3" t="s">
        <v>299</v>
      </c>
      <c r="H39" s="3" t="s">
        <v>85</v>
      </c>
      <c r="I39" s="3"/>
      <c r="J39" s="3"/>
      <c r="K39" s="3" t="s">
        <v>85</v>
      </c>
      <c r="L39" s="3"/>
      <c r="M39" s="3" t="s">
        <v>300</v>
      </c>
      <c r="N39" s="3" t="s">
        <v>301</v>
      </c>
    </row>
    <row r="40" spans="1:14" ht="55.05" customHeight="1" x14ac:dyDescent="0.3">
      <c r="A40" s="3" t="s">
        <v>344</v>
      </c>
      <c r="B40" s="3" t="s">
        <v>120</v>
      </c>
      <c r="C40" s="3" t="s">
        <v>121</v>
      </c>
      <c r="D40" s="3" t="s">
        <v>122</v>
      </c>
      <c r="E40" s="3" t="s">
        <v>305</v>
      </c>
      <c r="F40" s="3" t="s">
        <v>298</v>
      </c>
      <c r="G40" s="3" t="s">
        <v>299</v>
      </c>
      <c r="H40" s="3" t="s">
        <v>85</v>
      </c>
      <c r="I40" s="3"/>
      <c r="J40" s="3"/>
      <c r="K40" s="3" t="s">
        <v>85</v>
      </c>
      <c r="L40" s="3"/>
      <c r="M40" s="3" t="s">
        <v>300</v>
      </c>
      <c r="N40" s="3" t="s">
        <v>301</v>
      </c>
    </row>
    <row r="41" spans="1:14" ht="55.05" customHeight="1" x14ac:dyDescent="0.3">
      <c r="A41" s="3" t="s">
        <v>345</v>
      </c>
      <c r="B41" s="3" t="s">
        <v>120</v>
      </c>
      <c r="C41" s="3" t="s">
        <v>121</v>
      </c>
      <c r="D41" s="3" t="s">
        <v>122</v>
      </c>
      <c r="E41" s="3" t="s">
        <v>307</v>
      </c>
      <c r="F41" s="3" t="s">
        <v>298</v>
      </c>
      <c r="G41" s="3" t="s">
        <v>299</v>
      </c>
      <c r="H41" s="3" t="s">
        <v>85</v>
      </c>
      <c r="I41" s="3"/>
      <c r="J41" s="3"/>
      <c r="K41" s="3" t="s">
        <v>85</v>
      </c>
      <c r="L41" s="3"/>
      <c r="M41" s="3" t="s">
        <v>300</v>
      </c>
      <c r="N41" s="3" t="s">
        <v>301</v>
      </c>
    </row>
    <row r="42" spans="1:14" ht="55.05" customHeight="1" x14ac:dyDescent="0.3">
      <c r="A42" s="3" t="s">
        <v>346</v>
      </c>
      <c r="B42" s="3" t="s">
        <v>120</v>
      </c>
      <c r="C42" s="3" t="s">
        <v>121</v>
      </c>
      <c r="D42" s="3" t="s">
        <v>122</v>
      </c>
      <c r="E42" s="3" t="s">
        <v>309</v>
      </c>
      <c r="F42" s="3" t="s">
        <v>298</v>
      </c>
      <c r="G42" s="3" t="s">
        <v>299</v>
      </c>
      <c r="H42" s="3" t="s">
        <v>85</v>
      </c>
      <c r="I42" s="3"/>
      <c r="J42" s="3"/>
      <c r="K42" s="3" t="s">
        <v>85</v>
      </c>
      <c r="L42" s="3"/>
      <c r="M42" s="3" t="s">
        <v>300</v>
      </c>
      <c r="N42" s="3" t="s">
        <v>301</v>
      </c>
    </row>
    <row r="43" spans="1:14" ht="55.05" customHeight="1" x14ac:dyDescent="0.3">
      <c r="A43" s="3" t="s">
        <v>347</v>
      </c>
      <c r="B43" s="3" t="s">
        <v>120</v>
      </c>
      <c r="C43" s="3" t="s">
        <v>121</v>
      </c>
      <c r="D43" s="3" t="s">
        <v>122</v>
      </c>
      <c r="E43" s="3" t="s">
        <v>311</v>
      </c>
      <c r="F43" s="3" t="s">
        <v>298</v>
      </c>
      <c r="G43" s="3" t="s">
        <v>299</v>
      </c>
      <c r="H43" s="3" t="s">
        <v>85</v>
      </c>
      <c r="I43" s="3"/>
      <c r="J43" s="3"/>
      <c r="K43" s="3" t="s">
        <v>85</v>
      </c>
      <c r="L43" s="3"/>
      <c r="M43" s="3" t="s">
        <v>300</v>
      </c>
      <c r="N43" s="3" t="s">
        <v>301</v>
      </c>
    </row>
    <row r="44" spans="1:14" ht="55.05" customHeight="1" x14ac:dyDescent="0.3">
      <c r="A44" s="3" t="s">
        <v>348</v>
      </c>
      <c r="B44" s="3" t="s">
        <v>125</v>
      </c>
      <c r="C44" s="3" t="s">
        <v>126</v>
      </c>
      <c r="D44" s="3" t="s">
        <v>127</v>
      </c>
      <c r="E44" s="3" t="s">
        <v>297</v>
      </c>
      <c r="F44" s="3" t="s">
        <v>298</v>
      </c>
      <c r="G44" s="3" t="s">
        <v>299</v>
      </c>
      <c r="H44" s="3" t="s">
        <v>85</v>
      </c>
      <c r="I44" s="3"/>
      <c r="J44" s="3"/>
      <c r="K44" s="3" t="s">
        <v>85</v>
      </c>
      <c r="L44" s="3"/>
      <c r="M44" s="3" t="s">
        <v>300</v>
      </c>
      <c r="N44" s="3" t="s">
        <v>301</v>
      </c>
    </row>
    <row r="45" spans="1:14" ht="55.05" customHeight="1" x14ac:dyDescent="0.3">
      <c r="A45" s="3" t="s">
        <v>349</v>
      </c>
      <c r="B45" s="3" t="s">
        <v>125</v>
      </c>
      <c r="C45" s="3" t="s">
        <v>126</v>
      </c>
      <c r="D45" s="3" t="s">
        <v>127</v>
      </c>
      <c r="E45" s="3" t="s">
        <v>303</v>
      </c>
      <c r="F45" s="3" t="s">
        <v>298</v>
      </c>
      <c r="G45" s="3" t="s">
        <v>299</v>
      </c>
      <c r="H45" s="3" t="s">
        <v>85</v>
      </c>
      <c r="I45" s="3"/>
      <c r="J45" s="3"/>
      <c r="K45" s="3" t="s">
        <v>85</v>
      </c>
      <c r="L45" s="3"/>
      <c r="M45" s="3" t="s">
        <v>300</v>
      </c>
      <c r="N45" s="3" t="s">
        <v>301</v>
      </c>
    </row>
    <row r="46" spans="1:14" ht="55.05" customHeight="1" x14ac:dyDescent="0.3">
      <c r="A46" s="3" t="s">
        <v>350</v>
      </c>
      <c r="B46" s="3" t="s">
        <v>125</v>
      </c>
      <c r="C46" s="3" t="s">
        <v>126</v>
      </c>
      <c r="D46" s="3" t="s">
        <v>127</v>
      </c>
      <c r="E46" s="3" t="s">
        <v>305</v>
      </c>
      <c r="F46" s="3" t="s">
        <v>298</v>
      </c>
      <c r="G46" s="3" t="s">
        <v>299</v>
      </c>
      <c r="H46" s="3" t="s">
        <v>85</v>
      </c>
      <c r="I46" s="3"/>
      <c r="J46" s="3"/>
      <c r="K46" s="3" t="s">
        <v>85</v>
      </c>
      <c r="L46" s="3"/>
      <c r="M46" s="3" t="s">
        <v>300</v>
      </c>
      <c r="N46" s="3" t="s">
        <v>301</v>
      </c>
    </row>
    <row r="47" spans="1:14" ht="55.05" customHeight="1" x14ac:dyDescent="0.3">
      <c r="A47" s="3" t="s">
        <v>351</v>
      </c>
      <c r="B47" s="3" t="s">
        <v>125</v>
      </c>
      <c r="C47" s="3" t="s">
        <v>126</v>
      </c>
      <c r="D47" s="3" t="s">
        <v>127</v>
      </c>
      <c r="E47" s="3" t="s">
        <v>307</v>
      </c>
      <c r="F47" s="3" t="s">
        <v>298</v>
      </c>
      <c r="G47" s="3" t="s">
        <v>299</v>
      </c>
      <c r="H47" s="3" t="s">
        <v>85</v>
      </c>
      <c r="I47" s="3"/>
      <c r="J47" s="3"/>
      <c r="K47" s="3" t="s">
        <v>85</v>
      </c>
      <c r="L47" s="3"/>
      <c r="M47" s="3" t="s">
        <v>300</v>
      </c>
      <c r="N47" s="3" t="s">
        <v>301</v>
      </c>
    </row>
    <row r="48" spans="1:14" ht="55.05" customHeight="1" x14ac:dyDescent="0.3">
      <c r="A48" s="3" t="s">
        <v>352</v>
      </c>
      <c r="B48" s="3" t="s">
        <v>125</v>
      </c>
      <c r="C48" s="3" t="s">
        <v>126</v>
      </c>
      <c r="D48" s="3" t="s">
        <v>127</v>
      </c>
      <c r="E48" s="3" t="s">
        <v>309</v>
      </c>
      <c r="F48" s="3" t="s">
        <v>298</v>
      </c>
      <c r="G48" s="3" t="s">
        <v>299</v>
      </c>
      <c r="H48" s="3" t="s">
        <v>85</v>
      </c>
      <c r="I48" s="3"/>
      <c r="J48" s="3"/>
      <c r="K48" s="3" t="s">
        <v>85</v>
      </c>
      <c r="L48" s="3"/>
      <c r="M48" s="3" t="s">
        <v>300</v>
      </c>
      <c r="N48" s="3" t="s">
        <v>301</v>
      </c>
    </row>
    <row r="49" spans="1:14" ht="55.05" customHeight="1" x14ac:dyDescent="0.3">
      <c r="A49" s="3" t="s">
        <v>353</v>
      </c>
      <c r="B49" s="3" t="s">
        <v>125</v>
      </c>
      <c r="C49" s="3" t="s">
        <v>126</v>
      </c>
      <c r="D49" s="3" t="s">
        <v>127</v>
      </c>
      <c r="E49" s="3" t="s">
        <v>311</v>
      </c>
      <c r="F49" s="3" t="s">
        <v>298</v>
      </c>
      <c r="G49" s="3" t="s">
        <v>299</v>
      </c>
      <c r="H49" s="3" t="s">
        <v>85</v>
      </c>
      <c r="I49" s="3"/>
      <c r="J49" s="3"/>
      <c r="K49" s="3" t="s">
        <v>85</v>
      </c>
      <c r="L49" s="3"/>
      <c r="M49" s="3" t="s">
        <v>300</v>
      </c>
      <c r="N49" s="3" t="s">
        <v>301</v>
      </c>
    </row>
    <row r="50" spans="1:14" ht="55.05" customHeight="1" x14ac:dyDescent="0.3">
      <c r="A50" s="3" t="s">
        <v>354</v>
      </c>
      <c r="B50" s="3" t="s">
        <v>130</v>
      </c>
      <c r="C50" s="3" t="s">
        <v>131</v>
      </c>
      <c r="D50" s="3" t="s">
        <v>132</v>
      </c>
      <c r="E50" s="3" t="s">
        <v>297</v>
      </c>
      <c r="F50" s="3" t="s">
        <v>298</v>
      </c>
      <c r="G50" s="3" t="s">
        <v>299</v>
      </c>
      <c r="H50" s="3" t="s">
        <v>85</v>
      </c>
      <c r="I50" s="3"/>
      <c r="J50" s="3"/>
      <c r="K50" s="3" t="s">
        <v>85</v>
      </c>
      <c r="L50" s="3"/>
      <c r="M50" s="3" t="s">
        <v>300</v>
      </c>
      <c r="N50" s="3" t="s">
        <v>301</v>
      </c>
    </row>
    <row r="51" spans="1:14" ht="55.05" customHeight="1" x14ac:dyDescent="0.3">
      <c r="A51" s="3" t="s">
        <v>355</v>
      </c>
      <c r="B51" s="3" t="s">
        <v>130</v>
      </c>
      <c r="C51" s="3" t="s">
        <v>131</v>
      </c>
      <c r="D51" s="3" t="s">
        <v>132</v>
      </c>
      <c r="E51" s="3" t="s">
        <v>303</v>
      </c>
      <c r="F51" s="3" t="s">
        <v>298</v>
      </c>
      <c r="G51" s="3" t="s">
        <v>299</v>
      </c>
      <c r="H51" s="3" t="s">
        <v>85</v>
      </c>
      <c r="I51" s="3"/>
      <c r="J51" s="3"/>
      <c r="K51" s="3" t="s">
        <v>85</v>
      </c>
      <c r="L51" s="3"/>
      <c r="M51" s="3" t="s">
        <v>300</v>
      </c>
      <c r="N51" s="3" t="s">
        <v>301</v>
      </c>
    </row>
    <row r="52" spans="1:14" ht="55.05" customHeight="1" x14ac:dyDescent="0.3">
      <c r="A52" s="3" t="s">
        <v>356</v>
      </c>
      <c r="B52" s="3" t="s">
        <v>130</v>
      </c>
      <c r="C52" s="3" t="s">
        <v>131</v>
      </c>
      <c r="D52" s="3" t="s">
        <v>132</v>
      </c>
      <c r="E52" s="3" t="s">
        <v>305</v>
      </c>
      <c r="F52" s="3" t="s">
        <v>298</v>
      </c>
      <c r="G52" s="3" t="s">
        <v>299</v>
      </c>
      <c r="H52" s="3" t="s">
        <v>85</v>
      </c>
      <c r="I52" s="3"/>
      <c r="J52" s="3"/>
      <c r="K52" s="3" t="s">
        <v>85</v>
      </c>
      <c r="L52" s="3"/>
      <c r="M52" s="3" t="s">
        <v>300</v>
      </c>
      <c r="N52" s="3" t="s">
        <v>301</v>
      </c>
    </row>
    <row r="53" spans="1:14" ht="55.05" customHeight="1" x14ac:dyDescent="0.3">
      <c r="A53" s="3" t="s">
        <v>357</v>
      </c>
      <c r="B53" s="3" t="s">
        <v>130</v>
      </c>
      <c r="C53" s="3" t="s">
        <v>131</v>
      </c>
      <c r="D53" s="3" t="s">
        <v>132</v>
      </c>
      <c r="E53" s="3" t="s">
        <v>307</v>
      </c>
      <c r="F53" s="3" t="s">
        <v>298</v>
      </c>
      <c r="G53" s="3" t="s">
        <v>299</v>
      </c>
      <c r="H53" s="3" t="s">
        <v>85</v>
      </c>
      <c r="I53" s="3"/>
      <c r="J53" s="3"/>
      <c r="K53" s="3" t="s">
        <v>85</v>
      </c>
      <c r="L53" s="3"/>
      <c r="M53" s="3" t="s">
        <v>300</v>
      </c>
      <c r="N53" s="3" t="s">
        <v>301</v>
      </c>
    </row>
    <row r="54" spans="1:14" ht="55.05" customHeight="1" x14ac:dyDescent="0.3">
      <c r="A54" s="3" t="s">
        <v>358</v>
      </c>
      <c r="B54" s="3" t="s">
        <v>130</v>
      </c>
      <c r="C54" s="3" t="s">
        <v>131</v>
      </c>
      <c r="D54" s="3" t="s">
        <v>132</v>
      </c>
      <c r="E54" s="3" t="s">
        <v>309</v>
      </c>
      <c r="F54" s="3" t="s">
        <v>298</v>
      </c>
      <c r="G54" s="3" t="s">
        <v>299</v>
      </c>
      <c r="H54" s="3" t="s">
        <v>85</v>
      </c>
      <c r="I54" s="3"/>
      <c r="J54" s="3"/>
      <c r="K54" s="3" t="s">
        <v>85</v>
      </c>
      <c r="L54" s="3"/>
      <c r="M54" s="3" t="s">
        <v>300</v>
      </c>
      <c r="N54" s="3" t="s">
        <v>301</v>
      </c>
    </row>
    <row r="55" spans="1:14" ht="55.05" customHeight="1" x14ac:dyDescent="0.3">
      <c r="A55" s="3" t="s">
        <v>359</v>
      </c>
      <c r="B55" s="3" t="s">
        <v>130</v>
      </c>
      <c r="C55" s="3" t="s">
        <v>131</v>
      </c>
      <c r="D55" s="3" t="s">
        <v>132</v>
      </c>
      <c r="E55" s="3" t="s">
        <v>311</v>
      </c>
      <c r="F55" s="3" t="s">
        <v>298</v>
      </c>
      <c r="G55" s="3" t="s">
        <v>299</v>
      </c>
      <c r="H55" s="3" t="s">
        <v>85</v>
      </c>
      <c r="I55" s="3"/>
      <c r="J55" s="3"/>
      <c r="K55" s="3" t="s">
        <v>85</v>
      </c>
      <c r="L55" s="3"/>
      <c r="M55" s="3" t="s">
        <v>300</v>
      </c>
      <c r="N55" s="3" t="s">
        <v>301</v>
      </c>
    </row>
    <row r="56" spans="1:14" ht="55.05" customHeight="1" x14ac:dyDescent="0.3">
      <c r="A56" s="3" t="s">
        <v>360</v>
      </c>
      <c r="B56" s="3" t="s">
        <v>135</v>
      </c>
      <c r="C56" s="3" t="s">
        <v>136</v>
      </c>
      <c r="D56" s="3" t="s">
        <v>137</v>
      </c>
      <c r="E56" s="3" t="s">
        <v>297</v>
      </c>
      <c r="F56" s="3" t="s">
        <v>298</v>
      </c>
      <c r="G56" s="3" t="s">
        <v>299</v>
      </c>
      <c r="H56" s="3" t="s">
        <v>85</v>
      </c>
      <c r="I56" s="3"/>
      <c r="J56" s="3"/>
      <c r="K56" s="3" t="s">
        <v>85</v>
      </c>
      <c r="L56" s="3"/>
      <c r="M56" s="3" t="s">
        <v>300</v>
      </c>
      <c r="N56" s="3" t="s">
        <v>301</v>
      </c>
    </row>
    <row r="57" spans="1:14" ht="55.05" customHeight="1" x14ac:dyDescent="0.3">
      <c r="A57" s="3" t="s">
        <v>361</v>
      </c>
      <c r="B57" s="3" t="s">
        <v>135</v>
      </c>
      <c r="C57" s="3" t="s">
        <v>136</v>
      </c>
      <c r="D57" s="3" t="s">
        <v>137</v>
      </c>
      <c r="E57" s="3" t="s">
        <v>303</v>
      </c>
      <c r="F57" s="3" t="s">
        <v>298</v>
      </c>
      <c r="G57" s="3" t="s">
        <v>299</v>
      </c>
      <c r="H57" s="3" t="s">
        <v>85</v>
      </c>
      <c r="I57" s="3"/>
      <c r="J57" s="3"/>
      <c r="K57" s="3" t="s">
        <v>85</v>
      </c>
      <c r="L57" s="3"/>
      <c r="M57" s="3" t="s">
        <v>300</v>
      </c>
      <c r="N57" s="3" t="s">
        <v>301</v>
      </c>
    </row>
    <row r="58" spans="1:14" ht="55.05" customHeight="1" x14ac:dyDescent="0.3">
      <c r="A58" s="3" t="s">
        <v>362</v>
      </c>
      <c r="B58" s="3" t="s">
        <v>135</v>
      </c>
      <c r="C58" s="3" t="s">
        <v>136</v>
      </c>
      <c r="D58" s="3" t="s">
        <v>137</v>
      </c>
      <c r="E58" s="3" t="s">
        <v>305</v>
      </c>
      <c r="F58" s="3" t="s">
        <v>298</v>
      </c>
      <c r="G58" s="3" t="s">
        <v>299</v>
      </c>
      <c r="H58" s="3" t="s">
        <v>85</v>
      </c>
      <c r="I58" s="3"/>
      <c r="J58" s="3"/>
      <c r="K58" s="3" t="s">
        <v>85</v>
      </c>
      <c r="L58" s="3"/>
      <c r="M58" s="3" t="s">
        <v>300</v>
      </c>
      <c r="N58" s="3" t="s">
        <v>301</v>
      </c>
    </row>
    <row r="59" spans="1:14" ht="55.05" customHeight="1" x14ac:dyDescent="0.3">
      <c r="A59" s="3" t="s">
        <v>363</v>
      </c>
      <c r="B59" s="3" t="s">
        <v>135</v>
      </c>
      <c r="C59" s="3" t="s">
        <v>136</v>
      </c>
      <c r="D59" s="3" t="s">
        <v>137</v>
      </c>
      <c r="E59" s="3" t="s">
        <v>307</v>
      </c>
      <c r="F59" s="3" t="s">
        <v>298</v>
      </c>
      <c r="G59" s="3" t="s">
        <v>299</v>
      </c>
      <c r="H59" s="3" t="s">
        <v>85</v>
      </c>
      <c r="I59" s="3"/>
      <c r="J59" s="3"/>
      <c r="K59" s="3" t="s">
        <v>85</v>
      </c>
      <c r="L59" s="3"/>
      <c r="M59" s="3" t="s">
        <v>300</v>
      </c>
      <c r="N59" s="3" t="s">
        <v>301</v>
      </c>
    </row>
    <row r="60" spans="1:14" ht="55.05" customHeight="1" x14ac:dyDescent="0.3">
      <c r="A60" s="3" t="s">
        <v>364</v>
      </c>
      <c r="B60" s="3" t="s">
        <v>135</v>
      </c>
      <c r="C60" s="3" t="s">
        <v>136</v>
      </c>
      <c r="D60" s="3" t="s">
        <v>137</v>
      </c>
      <c r="E60" s="3" t="s">
        <v>309</v>
      </c>
      <c r="F60" s="3" t="s">
        <v>298</v>
      </c>
      <c r="G60" s="3" t="s">
        <v>299</v>
      </c>
      <c r="H60" s="3" t="s">
        <v>85</v>
      </c>
      <c r="I60" s="3"/>
      <c r="J60" s="3"/>
      <c r="K60" s="3" t="s">
        <v>85</v>
      </c>
      <c r="L60" s="3"/>
      <c r="M60" s="3" t="s">
        <v>300</v>
      </c>
      <c r="N60" s="3" t="s">
        <v>301</v>
      </c>
    </row>
    <row r="61" spans="1:14" ht="55.05" customHeight="1" x14ac:dyDescent="0.3">
      <c r="A61" s="3" t="s">
        <v>365</v>
      </c>
      <c r="B61" s="3" t="s">
        <v>135</v>
      </c>
      <c r="C61" s="3" t="s">
        <v>136</v>
      </c>
      <c r="D61" s="3" t="s">
        <v>137</v>
      </c>
      <c r="E61" s="3" t="s">
        <v>311</v>
      </c>
      <c r="F61" s="3" t="s">
        <v>298</v>
      </c>
      <c r="G61" s="3" t="s">
        <v>299</v>
      </c>
      <c r="H61" s="3" t="s">
        <v>85</v>
      </c>
      <c r="I61" s="3"/>
      <c r="J61" s="3"/>
      <c r="K61" s="3" t="s">
        <v>85</v>
      </c>
      <c r="L61" s="3"/>
      <c r="M61" s="3" t="s">
        <v>300</v>
      </c>
      <c r="N61" s="3" t="s">
        <v>301</v>
      </c>
    </row>
    <row r="62" spans="1:14" ht="55.05" customHeight="1" x14ac:dyDescent="0.3">
      <c r="A62" s="3" t="s">
        <v>366</v>
      </c>
      <c r="B62" s="3" t="s">
        <v>140</v>
      </c>
      <c r="C62" s="3" t="s">
        <v>141</v>
      </c>
      <c r="D62" s="3" t="s">
        <v>142</v>
      </c>
      <c r="E62" s="3" t="s">
        <v>297</v>
      </c>
      <c r="F62" s="3" t="s">
        <v>298</v>
      </c>
      <c r="G62" s="3" t="s">
        <v>299</v>
      </c>
      <c r="H62" s="3" t="s">
        <v>85</v>
      </c>
      <c r="I62" s="3"/>
      <c r="J62" s="3"/>
      <c r="K62" s="3" t="s">
        <v>85</v>
      </c>
      <c r="L62" s="3"/>
      <c r="M62" s="3" t="s">
        <v>300</v>
      </c>
      <c r="N62" s="3" t="s">
        <v>301</v>
      </c>
    </row>
    <row r="63" spans="1:14" ht="55.05" customHeight="1" x14ac:dyDescent="0.3">
      <c r="A63" s="3" t="s">
        <v>367</v>
      </c>
      <c r="B63" s="3" t="s">
        <v>140</v>
      </c>
      <c r="C63" s="3" t="s">
        <v>141</v>
      </c>
      <c r="D63" s="3" t="s">
        <v>142</v>
      </c>
      <c r="E63" s="3" t="s">
        <v>303</v>
      </c>
      <c r="F63" s="3" t="s">
        <v>298</v>
      </c>
      <c r="G63" s="3" t="s">
        <v>299</v>
      </c>
      <c r="H63" s="3" t="s">
        <v>85</v>
      </c>
      <c r="I63" s="3"/>
      <c r="J63" s="3"/>
      <c r="K63" s="3" t="s">
        <v>85</v>
      </c>
      <c r="L63" s="3"/>
      <c r="M63" s="3" t="s">
        <v>300</v>
      </c>
      <c r="N63" s="3" t="s">
        <v>301</v>
      </c>
    </row>
    <row r="64" spans="1:14" ht="55.05" customHeight="1" x14ac:dyDescent="0.3">
      <c r="A64" s="3" t="s">
        <v>368</v>
      </c>
      <c r="B64" s="3" t="s">
        <v>140</v>
      </c>
      <c r="C64" s="3" t="s">
        <v>141</v>
      </c>
      <c r="D64" s="3" t="s">
        <v>142</v>
      </c>
      <c r="E64" s="3" t="s">
        <v>305</v>
      </c>
      <c r="F64" s="3" t="s">
        <v>298</v>
      </c>
      <c r="G64" s="3" t="s">
        <v>299</v>
      </c>
      <c r="H64" s="3" t="s">
        <v>85</v>
      </c>
      <c r="I64" s="3"/>
      <c r="J64" s="3"/>
      <c r="K64" s="3" t="s">
        <v>85</v>
      </c>
      <c r="L64" s="3"/>
      <c r="M64" s="3" t="s">
        <v>300</v>
      </c>
      <c r="N64" s="3" t="s">
        <v>301</v>
      </c>
    </row>
    <row r="65" spans="1:14" ht="55.05" customHeight="1" x14ac:dyDescent="0.3">
      <c r="A65" s="3" t="s">
        <v>369</v>
      </c>
      <c r="B65" s="3" t="s">
        <v>140</v>
      </c>
      <c r="C65" s="3" t="s">
        <v>141</v>
      </c>
      <c r="D65" s="3" t="s">
        <v>142</v>
      </c>
      <c r="E65" s="3" t="s">
        <v>307</v>
      </c>
      <c r="F65" s="3" t="s">
        <v>298</v>
      </c>
      <c r="G65" s="3" t="s">
        <v>299</v>
      </c>
      <c r="H65" s="3" t="s">
        <v>85</v>
      </c>
      <c r="I65" s="3"/>
      <c r="J65" s="3"/>
      <c r="K65" s="3" t="s">
        <v>85</v>
      </c>
      <c r="L65" s="3"/>
      <c r="M65" s="3" t="s">
        <v>300</v>
      </c>
      <c r="N65" s="3" t="s">
        <v>301</v>
      </c>
    </row>
    <row r="66" spans="1:14" ht="55.05" customHeight="1" x14ac:dyDescent="0.3">
      <c r="A66" s="3" t="s">
        <v>370</v>
      </c>
      <c r="B66" s="3" t="s">
        <v>140</v>
      </c>
      <c r="C66" s="3" t="s">
        <v>141</v>
      </c>
      <c r="D66" s="3" t="s">
        <v>142</v>
      </c>
      <c r="E66" s="3" t="s">
        <v>309</v>
      </c>
      <c r="F66" s="3" t="s">
        <v>298</v>
      </c>
      <c r="G66" s="3" t="s">
        <v>299</v>
      </c>
      <c r="H66" s="3" t="s">
        <v>85</v>
      </c>
      <c r="I66" s="3"/>
      <c r="J66" s="3"/>
      <c r="K66" s="3" t="s">
        <v>85</v>
      </c>
      <c r="L66" s="3"/>
      <c r="M66" s="3" t="s">
        <v>300</v>
      </c>
      <c r="N66" s="3" t="s">
        <v>301</v>
      </c>
    </row>
    <row r="67" spans="1:14" ht="55.05" customHeight="1" x14ac:dyDescent="0.3">
      <c r="A67" s="3" t="s">
        <v>371</v>
      </c>
      <c r="B67" s="3" t="s">
        <v>140</v>
      </c>
      <c r="C67" s="3" t="s">
        <v>141</v>
      </c>
      <c r="D67" s="3" t="s">
        <v>142</v>
      </c>
      <c r="E67" s="3" t="s">
        <v>311</v>
      </c>
      <c r="F67" s="3" t="s">
        <v>298</v>
      </c>
      <c r="G67" s="3" t="s">
        <v>299</v>
      </c>
      <c r="H67" s="3" t="s">
        <v>85</v>
      </c>
      <c r="I67" s="3"/>
      <c r="J67" s="3"/>
      <c r="K67" s="3" t="s">
        <v>85</v>
      </c>
      <c r="L67" s="3"/>
      <c r="M67" s="3" t="s">
        <v>300</v>
      </c>
      <c r="N67" s="3" t="s">
        <v>301</v>
      </c>
    </row>
    <row r="68" spans="1:14" ht="55.05" customHeight="1" x14ac:dyDescent="0.3">
      <c r="A68" s="3" t="s">
        <v>372</v>
      </c>
      <c r="B68" s="3" t="s">
        <v>145</v>
      </c>
      <c r="C68" s="3" t="s">
        <v>146</v>
      </c>
      <c r="D68" s="3" t="s">
        <v>147</v>
      </c>
      <c r="E68" s="3" t="s">
        <v>297</v>
      </c>
      <c r="F68" s="3" t="s">
        <v>298</v>
      </c>
      <c r="G68" s="3" t="s">
        <v>299</v>
      </c>
      <c r="H68" s="3" t="s">
        <v>85</v>
      </c>
      <c r="I68" s="3"/>
      <c r="J68" s="3"/>
      <c r="K68" s="3" t="s">
        <v>85</v>
      </c>
      <c r="L68" s="3"/>
      <c r="M68" s="3" t="s">
        <v>300</v>
      </c>
      <c r="N68" s="3" t="s">
        <v>301</v>
      </c>
    </row>
    <row r="69" spans="1:14" ht="55.05" customHeight="1" x14ac:dyDescent="0.3">
      <c r="A69" s="3" t="s">
        <v>373</v>
      </c>
      <c r="B69" s="3" t="s">
        <v>145</v>
      </c>
      <c r="C69" s="3" t="s">
        <v>146</v>
      </c>
      <c r="D69" s="3" t="s">
        <v>147</v>
      </c>
      <c r="E69" s="3" t="s">
        <v>303</v>
      </c>
      <c r="F69" s="3" t="s">
        <v>298</v>
      </c>
      <c r="G69" s="3" t="s">
        <v>299</v>
      </c>
      <c r="H69" s="3" t="s">
        <v>85</v>
      </c>
      <c r="I69" s="3"/>
      <c r="J69" s="3"/>
      <c r="K69" s="3" t="s">
        <v>85</v>
      </c>
      <c r="L69" s="3"/>
      <c r="M69" s="3" t="s">
        <v>300</v>
      </c>
      <c r="N69" s="3" t="s">
        <v>301</v>
      </c>
    </row>
    <row r="70" spans="1:14" ht="55.05" customHeight="1" x14ac:dyDescent="0.3">
      <c r="A70" s="3" t="s">
        <v>374</v>
      </c>
      <c r="B70" s="3" t="s">
        <v>145</v>
      </c>
      <c r="C70" s="3" t="s">
        <v>146</v>
      </c>
      <c r="D70" s="3" t="s">
        <v>147</v>
      </c>
      <c r="E70" s="3" t="s">
        <v>305</v>
      </c>
      <c r="F70" s="3" t="s">
        <v>298</v>
      </c>
      <c r="G70" s="3" t="s">
        <v>299</v>
      </c>
      <c r="H70" s="3" t="s">
        <v>85</v>
      </c>
      <c r="I70" s="3"/>
      <c r="J70" s="3"/>
      <c r="K70" s="3" t="s">
        <v>85</v>
      </c>
      <c r="L70" s="3"/>
      <c r="M70" s="3" t="s">
        <v>300</v>
      </c>
      <c r="N70" s="3" t="s">
        <v>301</v>
      </c>
    </row>
    <row r="71" spans="1:14" ht="55.05" customHeight="1" x14ac:dyDescent="0.3">
      <c r="A71" s="3" t="s">
        <v>375</v>
      </c>
      <c r="B71" s="3" t="s">
        <v>145</v>
      </c>
      <c r="C71" s="3" t="s">
        <v>146</v>
      </c>
      <c r="D71" s="3" t="s">
        <v>147</v>
      </c>
      <c r="E71" s="3" t="s">
        <v>307</v>
      </c>
      <c r="F71" s="3" t="s">
        <v>298</v>
      </c>
      <c r="G71" s="3" t="s">
        <v>299</v>
      </c>
      <c r="H71" s="3" t="s">
        <v>85</v>
      </c>
      <c r="I71" s="3"/>
      <c r="J71" s="3"/>
      <c r="K71" s="3" t="s">
        <v>85</v>
      </c>
      <c r="L71" s="3"/>
      <c r="M71" s="3" t="s">
        <v>300</v>
      </c>
      <c r="N71" s="3" t="s">
        <v>301</v>
      </c>
    </row>
    <row r="72" spans="1:14" ht="55.05" customHeight="1" x14ac:dyDescent="0.3">
      <c r="A72" s="3" t="s">
        <v>376</v>
      </c>
      <c r="B72" s="3" t="s">
        <v>145</v>
      </c>
      <c r="C72" s="3" t="s">
        <v>146</v>
      </c>
      <c r="D72" s="3" t="s">
        <v>147</v>
      </c>
      <c r="E72" s="3" t="s">
        <v>309</v>
      </c>
      <c r="F72" s="3" t="s">
        <v>298</v>
      </c>
      <c r="G72" s="3" t="s">
        <v>299</v>
      </c>
      <c r="H72" s="3" t="s">
        <v>85</v>
      </c>
      <c r="I72" s="3"/>
      <c r="J72" s="3"/>
      <c r="K72" s="3" t="s">
        <v>85</v>
      </c>
      <c r="L72" s="3"/>
      <c r="M72" s="3" t="s">
        <v>300</v>
      </c>
      <c r="N72" s="3" t="s">
        <v>301</v>
      </c>
    </row>
    <row r="73" spans="1:14" ht="55.05" customHeight="1" x14ac:dyDescent="0.3">
      <c r="A73" s="3" t="s">
        <v>377</v>
      </c>
      <c r="B73" s="3" t="s">
        <v>145</v>
      </c>
      <c r="C73" s="3" t="s">
        <v>146</v>
      </c>
      <c r="D73" s="3" t="s">
        <v>147</v>
      </c>
      <c r="E73" s="3" t="s">
        <v>311</v>
      </c>
      <c r="F73" s="3" t="s">
        <v>298</v>
      </c>
      <c r="G73" s="3" t="s">
        <v>299</v>
      </c>
      <c r="H73" s="3" t="s">
        <v>85</v>
      </c>
      <c r="I73" s="3"/>
      <c r="J73" s="3"/>
      <c r="K73" s="3" t="s">
        <v>85</v>
      </c>
      <c r="L73" s="3"/>
      <c r="M73" s="3" t="s">
        <v>300</v>
      </c>
      <c r="N73" s="3" t="s">
        <v>301</v>
      </c>
    </row>
    <row r="74" spans="1:14" ht="55.05" customHeight="1" x14ac:dyDescent="0.3">
      <c r="A74" s="3" t="s">
        <v>378</v>
      </c>
      <c r="B74" s="3" t="s">
        <v>150</v>
      </c>
      <c r="C74" s="3" t="s">
        <v>151</v>
      </c>
      <c r="D74" s="3" t="s">
        <v>152</v>
      </c>
      <c r="E74" s="3" t="s">
        <v>297</v>
      </c>
      <c r="F74" s="3" t="s">
        <v>298</v>
      </c>
      <c r="G74" s="3" t="s">
        <v>299</v>
      </c>
      <c r="H74" s="3" t="s">
        <v>85</v>
      </c>
      <c r="I74" s="3"/>
      <c r="J74" s="3"/>
      <c r="K74" s="3" t="s">
        <v>85</v>
      </c>
      <c r="L74" s="3"/>
      <c r="M74" s="3" t="s">
        <v>300</v>
      </c>
      <c r="N74" s="3" t="s">
        <v>301</v>
      </c>
    </row>
    <row r="75" spans="1:14" ht="55.05" customHeight="1" x14ac:dyDescent="0.3">
      <c r="A75" s="3" t="s">
        <v>379</v>
      </c>
      <c r="B75" s="3" t="s">
        <v>150</v>
      </c>
      <c r="C75" s="3" t="s">
        <v>151</v>
      </c>
      <c r="D75" s="3" t="s">
        <v>152</v>
      </c>
      <c r="E75" s="3" t="s">
        <v>303</v>
      </c>
      <c r="F75" s="3" t="s">
        <v>298</v>
      </c>
      <c r="G75" s="3" t="s">
        <v>299</v>
      </c>
      <c r="H75" s="3" t="s">
        <v>85</v>
      </c>
      <c r="I75" s="3"/>
      <c r="J75" s="3"/>
      <c r="K75" s="3" t="s">
        <v>85</v>
      </c>
      <c r="L75" s="3"/>
      <c r="M75" s="3" t="s">
        <v>300</v>
      </c>
      <c r="N75" s="3" t="s">
        <v>301</v>
      </c>
    </row>
    <row r="76" spans="1:14" ht="55.05" customHeight="1" x14ac:dyDescent="0.3">
      <c r="A76" s="3" t="s">
        <v>380</v>
      </c>
      <c r="B76" s="3" t="s">
        <v>150</v>
      </c>
      <c r="C76" s="3" t="s">
        <v>151</v>
      </c>
      <c r="D76" s="3" t="s">
        <v>152</v>
      </c>
      <c r="E76" s="3" t="s">
        <v>305</v>
      </c>
      <c r="F76" s="3" t="s">
        <v>298</v>
      </c>
      <c r="G76" s="3" t="s">
        <v>299</v>
      </c>
      <c r="H76" s="3" t="s">
        <v>85</v>
      </c>
      <c r="I76" s="3"/>
      <c r="J76" s="3"/>
      <c r="K76" s="3" t="s">
        <v>85</v>
      </c>
      <c r="L76" s="3"/>
      <c r="M76" s="3" t="s">
        <v>300</v>
      </c>
      <c r="N76" s="3" t="s">
        <v>301</v>
      </c>
    </row>
    <row r="77" spans="1:14" ht="55.05" customHeight="1" x14ac:dyDescent="0.3">
      <c r="A77" s="3" t="s">
        <v>381</v>
      </c>
      <c r="B77" s="3" t="s">
        <v>150</v>
      </c>
      <c r="C77" s="3" t="s">
        <v>151</v>
      </c>
      <c r="D77" s="3" t="s">
        <v>152</v>
      </c>
      <c r="E77" s="3" t="s">
        <v>307</v>
      </c>
      <c r="F77" s="3" t="s">
        <v>298</v>
      </c>
      <c r="G77" s="3" t="s">
        <v>299</v>
      </c>
      <c r="H77" s="3" t="s">
        <v>85</v>
      </c>
      <c r="I77" s="3"/>
      <c r="J77" s="3"/>
      <c r="K77" s="3" t="s">
        <v>85</v>
      </c>
      <c r="L77" s="3"/>
      <c r="M77" s="3" t="s">
        <v>300</v>
      </c>
      <c r="N77" s="3" t="s">
        <v>301</v>
      </c>
    </row>
    <row r="78" spans="1:14" ht="55.05" customHeight="1" x14ac:dyDescent="0.3">
      <c r="A78" s="3" t="s">
        <v>382</v>
      </c>
      <c r="B78" s="3" t="s">
        <v>150</v>
      </c>
      <c r="C78" s="3" t="s">
        <v>151</v>
      </c>
      <c r="D78" s="3" t="s">
        <v>152</v>
      </c>
      <c r="E78" s="3" t="s">
        <v>309</v>
      </c>
      <c r="F78" s="3" t="s">
        <v>298</v>
      </c>
      <c r="G78" s="3" t="s">
        <v>299</v>
      </c>
      <c r="H78" s="3" t="s">
        <v>85</v>
      </c>
      <c r="I78" s="3"/>
      <c r="J78" s="3"/>
      <c r="K78" s="3" t="s">
        <v>85</v>
      </c>
      <c r="L78" s="3"/>
      <c r="M78" s="3" t="s">
        <v>300</v>
      </c>
      <c r="N78" s="3" t="s">
        <v>301</v>
      </c>
    </row>
    <row r="79" spans="1:14" ht="55.05" customHeight="1" x14ac:dyDescent="0.3">
      <c r="A79" s="3" t="s">
        <v>383</v>
      </c>
      <c r="B79" s="3" t="s">
        <v>150</v>
      </c>
      <c r="C79" s="3" t="s">
        <v>151</v>
      </c>
      <c r="D79" s="3" t="s">
        <v>152</v>
      </c>
      <c r="E79" s="3" t="s">
        <v>311</v>
      </c>
      <c r="F79" s="3" t="s">
        <v>298</v>
      </c>
      <c r="G79" s="3" t="s">
        <v>299</v>
      </c>
      <c r="H79" s="3" t="s">
        <v>85</v>
      </c>
      <c r="I79" s="3"/>
      <c r="J79" s="3"/>
      <c r="K79" s="3" t="s">
        <v>85</v>
      </c>
      <c r="L79" s="3"/>
      <c r="M79" s="3" t="s">
        <v>300</v>
      </c>
      <c r="N79" s="3" t="s">
        <v>301</v>
      </c>
    </row>
    <row r="80" spans="1:14" ht="55.05" customHeight="1" x14ac:dyDescent="0.3">
      <c r="A80" s="3" t="s">
        <v>384</v>
      </c>
      <c r="B80" s="3" t="s">
        <v>155</v>
      </c>
      <c r="C80" s="3" t="s">
        <v>156</v>
      </c>
      <c r="D80" s="3" t="s">
        <v>157</v>
      </c>
      <c r="E80" s="3" t="s">
        <v>297</v>
      </c>
      <c r="F80" s="3" t="s">
        <v>298</v>
      </c>
      <c r="G80" s="3" t="s">
        <v>299</v>
      </c>
      <c r="H80" s="3" t="s">
        <v>85</v>
      </c>
      <c r="I80" s="3"/>
      <c r="J80" s="3"/>
      <c r="K80" s="3" t="s">
        <v>85</v>
      </c>
      <c r="L80" s="3"/>
      <c r="M80" s="3" t="s">
        <v>300</v>
      </c>
      <c r="N80" s="3" t="s">
        <v>301</v>
      </c>
    </row>
    <row r="81" spans="1:14" ht="55.05" customHeight="1" x14ac:dyDescent="0.3">
      <c r="A81" s="3" t="s">
        <v>385</v>
      </c>
      <c r="B81" s="3" t="s">
        <v>155</v>
      </c>
      <c r="C81" s="3" t="s">
        <v>156</v>
      </c>
      <c r="D81" s="3" t="s">
        <v>157</v>
      </c>
      <c r="E81" s="3" t="s">
        <v>303</v>
      </c>
      <c r="F81" s="3" t="s">
        <v>298</v>
      </c>
      <c r="G81" s="3" t="s">
        <v>299</v>
      </c>
      <c r="H81" s="3" t="s">
        <v>85</v>
      </c>
      <c r="I81" s="3"/>
      <c r="J81" s="3"/>
      <c r="K81" s="3" t="s">
        <v>85</v>
      </c>
      <c r="L81" s="3"/>
      <c r="M81" s="3" t="s">
        <v>300</v>
      </c>
      <c r="N81" s="3" t="s">
        <v>301</v>
      </c>
    </row>
    <row r="82" spans="1:14" ht="55.05" customHeight="1" x14ac:dyDescent="0.3">
      <c r="A82" s="3" t="s">
        <v>386</v>
      </c>
      <c r="B82" s="3" t="s">
        <v>155</v>
      </c>
      <c r="C82" s="3" t="s">
        <v>156</v>
      </c>
      <c r="D82" s="3" t="s">
        <v>157</v>
      </c>
      <c r="E82" s="3" t="s">
        <v>305</v>
      </c>
      <c r="F82" s="3" t="s">
        <v>298</v>
      </c>
      <c r="G82" s="3" t="s">
        <v>299</v>
      </c>
      <c r="H82" s="3" t="s">
        <v>85</v>
      </c>
      <c r="I82" s="3"/>
      <c r="J82" s="3"/>
      <c r="K82" s="3" t="s">
        <v>85</v>
      </c>
      <c r="L82" s="3"/>
      <c r="M82" s="3" t="s">
        <v>300</v>
      </c>
      <c r="N82" s="3" t="s">
        <v>301</v>
      </c>
    </row>
    <row r="83" spans="1:14" ht="55.05" customHeight="1" x14ac:dyDescent="0.3">
      <c r="A83" s="3" t="s">
        <v>387</v>
      </c>
      <c r="B83" s="3" t="s">
        <v>155</v>
      </c>
      <c r="C83" s="3" t="s">
        <v>156</v>
      </c>
      <c r="D83" s="3" t="s">
        <v>157</v>
      </c>
      <c r="E83" s="3" t="s">
        <v>307</v>
      </c>
      <c r="F83" s="3" t="s">
        <v>298</v>
      </c>
      <c r="G83" s="3" t="s">
        <v>299</v>
      </c>
      <c r="H83" s="3" t="s">
        <v>85</v>
      </c>
      <c r="I83" s="3"/>
      <c r="J83" s="3"/>
      <c r="K83" s="3" t="s">
        <v>85</v>
      </c>
      <c r="L83" s="3"/>
      <c r="M83" s="3" t="s">
        <v>300</v>
      </c>
      <c r="N83" s="3" t="s">
        <v>301</v>
      </c>
    </row>
    <row r="84" spans="1:14" ht="55.05" customHeight="1" x14ac:dyDescent="0.3">
      <c r="A84" s="3" t="s">
        <v>388</v>
      </c>
      <c r="B84" s="3" t="s">
        <v>155</v>
      </c>
      <c r="C84" s="3" t="s">
        <v>156</v>
      </c>
      <c r="D84" s="3" t="s">
        <v>157</v>
      </c>
      <c r="E84" s="3" t="s">
        <v>309</v>
      </c>
      <c r="F84" s="3" t="s">
        <v>298</v>
      </c>
      <c r="G84" s="3" t="s">
        <v>299</v>
      </c>
      <c r="H84" s="3" t="s">
        <v>85</v>
      </c>
      <c r="I84" s="3"/>
      <c r="J84" s="3"/>
      <c r="K84" s="3" t="s">
        <v>85</v>
      </c>
      <c r="L84" s="3"/>
      <c r="M84" s="3" t="s">
        <v>300</v>
      </c>
      <c r="N84" s="3" t="s">
        <v>301</v>
      </c>
    </row>
    <row r="85" spans="1:14" ht="55.05" customHeight="1" x14ac:dyDescent="0.3">
      <c r="A85" s="3" t="s">
        <v>389</v>
      </c>
      <c r="B85" s="3" t="s">
        <v>155</v>
      </c>
      <c r="C85" s="3" t="s">
        <v>156</v>
      </c>
      <c r="D85" s="3" t="s">
        <v>157</v>
      </c>
      <c r="E85" s="3" t="s">
        <v>311</v>
      </c>
      <c r="F85" s="3" t="s">
        <v>298</v>
      </c>
      <c r="G85" s="3" t="s">
        <v>299</v>
      </c>
      <c r="H85" s="3" t="s">
        <v>85</v>
      </c>
      <c r="I85" s="3"/>
      <c r="J85" s="3"/>
      <c r="K85" s="3" t="s">
        <v>85</v>
      </c>
      <c r="L85" s="3"/>
      <c r="M85" s="3" t="s">
        <v>300</v>
      </c>
      <c r="N85" s="3" t="s">
        <v>301</v>
      </c>
    </row>
    <row r="86" spans="1:14" ht="55.05" customHeight="1" x14ac:dyDescent="0.3">
      <c r="A86" s="3" t="s">
        <v>390</v>
      </c>
      <c r="B86" s="3" t="s">
        <v>160</v>
      </c>
      <c r="C86" s="3" t="s">
        <v>161</v>
      </c>
      <c r="D86" s="3" t="s">
        <v>162</v>
      </c>
      <c r="E86" s="3" t="s">
        <v>297</v>
      </c>
      <c r="F86" s="3" t="s">
        <v>298</v>
      </c>
      <c r="G86" s="3" t="s">
        <v>299</v>
      </c>
      <c r="H86" s="3" t="s">
        <v>85</v>
      </c>
      <c r="I86" s="3"/>
      <c r="J86" s="3"/>
      <c r="K86" s="3" t="s">
        <v>85</v>
      </c>
      <c r="L86" s="3"/>
      <c r="M86" s="3" t="s">
        <v>300</v>
      </c>
      <c r="N86" s="3" t="s">
        <v>301</v>
      </c>
    </row>
    <row r="87" spans="1:14" ht="55.05" customHeight="1" x14ac:dyDescent="0.3">
      <c r="A87" s="3" t="s">
        <v>391</v>
      </c>
      <c r="B87" s="3" t="s">
        <v>160</v>
      </c>
      <c r="C87" s="3" t="s">
        <v>161</v>
      </c>
      <c r="D87" s="3" t="s">
        <v>162</v>
      </c>
      <c r="E87" s="3" t="s">
        <v>303</v>
      </c>
      <c r="F87" s="3" t="s">
        <v>298</v>
      </c>
      <c r="G87" s="3" t="s">
        <v>299</v>
      </c>
      <c r="H87" s="3" t="s">
        <v>85</v>
      </c>
      <c r="I87" s="3"/>
      <c r="J87" s="3"/>
      <c r="K87" s="3" t="s">
        <v>85</v>
      </c>
      <c r="L87" s="3"/>
      <c r="M87" s="3" t="s">
        <v>300</v>
      </c>
      <c r="N87" s="3" t="s">
        <v>301</v>
      </c>
    </row>
    <row r="88" spans="1:14" ht="55.05" customHeight="1" x14ac:dyDescent="0.3">
      <c r="A88" s="3" t="s">
        <v>392</v>
      </c>
      <c r="B88" s="3" t="s">
        <v>160</v>
      </c>
      <c r="C88" s="3" t="s">
        <v>161</v>
      </c>
      <c r="D88" s="3" t="s">
        <v>162</v>
      </c>
      <c r="E88" s="3" t="s">
        <v>305</v>
      </c>
      <c r="F88" s="3" t="s">
        <v>298</v>
      </c>
      <c r="G88" s="3" t="s">
        <v>299</v>
      </c>
      <c r="H88" s="3" t="s">
        <v>85</v>
      </c>
      <c r="I88" s="3"/>
      <c r="J88" s="3"/>
      <c r="K88" s="3" t="s">
        <v>85</v>
      </c>
      <c r="L88" s="3"/>
      <c r="M88" s="3" t="s">
        <v>300</v>
      </c>
      <c r="N88" s="3" t="s">
        <v>301</v>
      </c>
    </row>
    <row r="89" spans="1:14" ht="55.05" customHeight="1" x14ac:dyDescent="0.3">
      <c r="A89" s="3" t="s">
        <v>393</v>
      </c>
      <c r="B89" s="3" t="s">
        <v>160</v>
      </c>
      <c r="C89" s="3" t="s">
        <v>161</v>
      </c>
      <c r="D89" s="3" t="s">
        <v>162</v>
      </c>
      <c r="E89" s="3" t="s">
        <v>307</v>
      </c>
      <c r="F89" s="3" t="s">
        <v>298</v>
      </c>
      <c r="G89" s="3" t="s">
        <v>299</v>
      </c>
      <c r="H89" s="3" t="s">
        <v>85</v>
      </c>
      <c r="I89" s="3"/>
      <c r="J89" s="3"/>
      <c r="K89" s="3" t="s">
        <v>85</v>
      </c>
      <c r="L89" s="3"/>
      <c r="M89" s="3" t="s">
        <v>300</v>
      </c>
      <c r="N89" s="3" t="s">
        <v>301</v>
      </c>
    </row>
    <row r="90" spans="1:14" ht="55.05" customHeight="1" x14ac:dyDescent="0.3">
      <c r="A90" s="3" t="s">
        <v>394</v>
      </c>
      <c r="B90" s="3" t="s">
        <v>160</v>
      </c>
      <c r="C90" s="3" t="s">
        <v>161</v>
      </c>
      <c r="D90" s="3" t="s">
        <v>162</v>
      </c>
      <c r="E90" s="3" t="s">
        <v>309</v>
      </c>
      <c r="F90" s="3" t="s">
        <v>298</v>
      </c>
      <c r="G90" s="3" t="s">
        <v>299</v>
      </c>
      <c r="H90" s="3" t="s">
        <v>85</v>
      </c>
      <c r="I90" s="3"/>
      <c r="J90" s="3"/>
      <c r="K90" s="3" t="s">
        <v>85</v>
      </c>
      <c r="L90" s="3"/>
      <c r="M90" s="3" t="s">
        <v>300</v>
      </c>
      <c r="N90" s="3" t="s">
        <v>301</v>
      </c>
    </row>
    <row r="91" spans="1:14" ht="55.05" customHeight="1" x14ac:dyDescent="0.3">
      <c r="A91" s="3" t="s">
        <v>395</v>
      </c>
      <c r="B91" s="3" t="s">
        <v>160</v>
      </c>
      <c r="C91" s="3" t="s">
        <v>161</v>
      </c>
      <c r="D91" s="3" t="s">
        <v>162</v>
      </c>
      <c r="E91" s="3" t="s">
        <v>311</v>
      </c>
      <c r="F91" s="3" t="s">
        <v>298</v>
      </c>
      <c r="G91" s="3" t="s">
        <v>299</v>
      </c>
      <c r="H91" s="3" t="s">
        <v>85</v>
      </c>
      <c r="I91" s="3"/>
      <c r="J91" s="3"/>
      <c r="K91" s="3" t="s">
        <v>85</v>
      </c>
      <c r="L91" s="3"/>
      <c r="M91" s="3" t="s">
        <v>300</v>
      </c>
      <c r="N91" s="3" t="s">
        <v>301</v>
      </c>
    </row>
    <row r="92" spans="1:14" ht="55.05" customHeight="1" x14ac:dyDescent="0.3">
      <c r="A92" s="3" t="s">
        <v>396</v>
      </c>
      <c r="B92" s="3" t="s">
        <v>165</v>
      </c>
      <c r="C92" s="3" t="s">
        <v>166</v>
      </c>
      <c r="D92" s="3" t="s">
        <v>167</v>
      </c>
      <c r="E92" s="3" t="s">
        <v>297</v>
      </c>
      <c r="F92" s="3" t="s">
        <v>298</v>
      </c>
      <c r="G92" s="3" t="s">
        <v>299</v>
      </c>
      <c r="H92" s="3" t="s">
        <v>85</v>
      </c>
      <c r="I92" s="3"/>
      <c r="J92" s="3"/>
      <c r="K92" s="3" t="s">
        <v>85</v>
      </c>
      <c r="L92" s="3"/>
      <c r="M92" s="3" t="s">
        <v>300</v>
      </c>
      <c r="N92" s="3" t="s">
        <v>301</v>
      </c>
    </row>
    <row r="93" spans="1:14" ht="55.05" customHeight="1" x14ac:dyDescent="0.3">
      <c r="A93" s="3" t="s">
        <v>397</v>
      </c>
      <c r="B93" s="3" t="s">
        <v>165</v>
      </c>
      <c r="C93" s="3" t="s">
        <v>166</v>
      </c>
      <c r="D93" s="3" t="s">
        <v>167</v>
      </c>
      <c r="E93" s="3" t="s">
        <v>303</v>
      </c>
      <c r="F93" s="3" t="s">
        <v>298</v>
      </c>
      <c r="G93" s="3" t="s">
        <v>299</v>
      </c>
      <c r="H93" s="3" t="s">
        <v>85</v>
      </c>
      <c r="I93" s="3"/>
      <c r="J93" s="3"/>
      <c r="K93" s="3" t="s">
        <v>85</v>
      </c>
      <c r="L93" s="3"/>
      <c r="M93" s="3" t="s">
        <v>300</v>
      </c>
      <c r="N93" s="3" t="s">
        <v>301</v>
      </c>
    </row>
    <row r="94" spans="1:14" ht="55.05" customHeight="1" x14ac:dyDescent="0.3">
      <c r="A94" s="3" t="s">
        <v>398</v>
      </c>
      <c r="B94" s="3" t="s">
        <v>165</v>
      </c>
      <c r="C94" s="3" t="s">
        <v>166</v>
      </c>
      <c r="D94" s="3" t="s">
        <v>167</v>
      </c>
      <c r="E94" s="3" t="s">
        <v>305</v>
      </c>
      <c r="F94" s="3" t="s">
        <v>298</v>
      </c>
      <c r="G94" s="3" t="s">
        <v>299</v>
      </c>
      <c r="H94" s="3" t="s">
        <v>85</v>
      </c>
      <c r="I94" s="3"/>
      <c r="J94" s="3"/>
      <c r="K94" s="3" t="s">
        <v>85</v>
      </c>
      <c r="L94" s="3"/>
      <c r="M94" s="3" t="s">
        <v>300</v>
      </c>
      <c r="N94" s="3" t="s">
        <v>301</v>
      </c>
    </row>
    <row r="95" spans="1:14" ht="55.05" customHeight="1" x14ac:dyDescent="0.3">
      <c r="A95" s="3" t="s">
        <v>399</v>
      </c>
      <c r="B95" s="3" t="s">
        <v>165</v>
      </c>
      <c r="C95" s="3" t="s">
        <v>166</v>
      </c>
      <c r="D95" s="3" t="s">
        <v>167</v>
      </c>
      <c r="E95" s="3" t="s">
        <v>307</v>
      </c>
      <c r="F95" s="3" t="s">
        <v>298</v>
      </c>
      <c r="G95" s="3" t="s">
        <v>299</v>
      </c>
      <c r="H95" s="3" t="s">
        <v>85</v>
      </c>
      <c r="I95" s="3"/>
      <c r="J95" s="3"/>
      <c r="K95" s="3" t="s">
        <v>85</v>
      </c>
      <c r="L95" s="3"/>
      <c r="M95" s="3" t="s">
        <v>300</v>
      </c>
      <c r="N95" s="3" t="s">
        <v>301</v>
      </c>
    </row>
    <row r="96" spans="1:14" ht="55.05" customHeight="1" x14ac:dyDescent="0.3">
      <c r="A96" s="3" t="s">
        <v>400</v>
      </c>
      <c r="B96" s="3" t="s">
        <v>165</v>
      </c>
      <c r="C96" s="3" t="s">
        <v>166</v>
      </c>
      <c r="D96" s="3" t="s">
        <v>167</v>
      </c>
      <c r="E96" s="3" t="s">
        <v>309</v>
      </c>
      <c r="F96" s="3" t="s">
        <v>298</v>
      </c>
      <c r="G96" s="3" t="s">
        <v>299</v>
      </c>
      <c r="H96" s="3" t="s">
        <v>85</v>
      </c>
      <c r="I96" s="3"/>
      <c r="J96" s="3"/>
      <c r="K96" s="3" t="s">
        <v>85</v>
      </c>
      <c r="L96" s="3"/>
      <c r="M96" s="3" t="s">
        <v>300</v>
      </c>
      <c r="N96" s="3" t="s">
        <v>301</v>
      </c>
    </row>
    <row r="97" spans="1:14" ht="55.05" customHeight="1" x14ac:dyDescent="0.3">
      <c r="A97" s="3" t="s">
        <v>401</v>
      </c>
      <c r="B97" s="3" t="s">
        <v>165</v>
      </c>
      <c r="C97" s="3" t="s">
        <v>166</v>
      </c>
      <c r="D97" s="3" t="s">
        <v>167</v>
      </c>
      <c r="E97" s="3" t="s">
        <v>311</v>
      </c>
      <c r="F97" s="3" t="s">
        <v>298</v>
      </c>
      <c r="G97" s="3" t="s">
        <v>299</v>
      </c>
      <c r="H97" s="3" t="s">
        <v>85</v>
      </c>
      <c r="I97" s="3"/>
      <c r="J97" s="3"/>
      <c r="K97" s="3" t="s">
        <v>85</v>
      </c>
      <c r="L97" s="3"/>
      <c r="M97" s="3" t="s">
        <v>300</v>
      </c>
      <c r="N97" s="3" t="s">
        <v>301</v>
      </c>
    </row>
    <row r="98" spans="1:14" ht="55.05" customHeight="1" x14ac:dyDescent="0.3">
      <c r="A98" s="3" t="s">
        <v>402</v>
      </c>
      <c r="B98" s="3" t="s">
        <v>172</v>
      </c>
      <c r="C98" s="3" t="s">
        <v>173</v>
      </c>
      <c r="D98" s="3" t="s">
        <v>174</v>
      </c>
      <c r="E98" s="3" t="s">
        <v>297</v>
      </c>
      <c r="F98" s="3" t="s">
        <v>298</v>
      </c>
      <c r="G98" s="3" t="s">
        <v>299</v>
      </c>
      <c r="H98" s="3" t="s">
        <v>85</v>
      </c>
      <c r="I98" s="3"/>
      <c r="J98" s="3"/>
      <c r="K98" s="3" t="s">
        <v>85</v>
      </c>
      <c r="L98" s="3"/>
      <c r="M98" s="3" t="s">
        <v>300</v>
      </c>
      <c r="N98" s="3" t="s">
        <v>301</v>
      </c>
    </row>
    <row r="99" spans="1:14" ht="55.05" customHeight="1" x14ac:dyDescent="0.3">
      <c r="A99" s="3" t="s">
        <v>403</v>
      </c>
      <c r="B99" s="3" t="s">
        <v>172</v>
      </c>
      <c r="C99" s="3" t="s">
        <v>173</v>
      </c>
      <c r="D99" s="3" t="s">
        <v>174</v>
      </c>
      <c r="E99" s="3" t="s">
        <v>303</v>
      </c>
      <c r="F99" s="3" t="s">
        <v>298</v>
      </c>
      <c r="G99" s="3" t="s">
        <v>299</v>
      </c>
      <c r="H99" s="3" t="s">
        <v>85</v>
      </c>
      <c r="I99" s="3"/>
      <c r="J99" s="3"/>
      <c r="K99" s="3" t="s">
        <v>85</v>
      </c>
      <c r="L99" s="3"/>
      <c r="M99" s="3" t="s">
        <v>300</v>
      </c>
      <c r="N99" s="3" t="s">
        <v>301</v>
      </c>
    </row>
    <row r="100" spans="1:14" ht="55.05" customHeight="1" x14ac:dyDescent="0.3">
      <c r="A100" s="3" t="s">
        <v>404</v>
      </c>
      <c r="B100" s="3" t="s">
        <v>172</v>
      </c>
      <c r="C100" s="3" t="s">
        <v>173</v>
      </c>
      <c r="D100" s="3" t="s">
        <v>174</v>
      </c>
      <c r="E100" s="3" t="s">
        <v>305</v>
      </c>
      <c r="F100" s="3" t="s">
        <v>298</v>
      </c>
      <c r="G100" s="3" t="s">
        <v>299</v>
      </c>
      <c r="H100" s="3" t="s">
        <v>85</v>
      </c>
      <c r="I100" s="3"/>
      <c r="J100" s="3"/>
      <c r="K100" s="3" t="s">
        <v>85</v>
      </c>
      <c r="L100" s="3"/>
      <c r="M100" s="3" t="s">
        <v>300</v>
      </c>
      <c r="N100" s="3" t="s">
        <v>301</v>
      </c>
    </row>
    <row r="101" spans="1:14" ht="55.05" customHeight="1" x14ac:dyDescent="0.3">
      <c r="A101" s="3" t="s">
        <v>405</v>
      </c>
      <c r="B101" s="3" t="s">
        <v>172</v>
      </c>
      <c r="C101" s="3" t="s">
        <v>173</v>
      </c>
      <c r="D101" s="3" t="s">
        <v>174</v>
      </c>
      <c r="E101" s="3" t="s">
        <v>307</v>
      </c>
      <c r="F101" s="3" t="s">
        <v>298</v>
      </c>
      <c r="G101" s="3" t="s">
        <v>299</v>
      </c>
      <c r="H101" s="3" t="s">
        <v>85</v>
      </c>
      <c r="I101" s="3"/>
      <c r="J101" s="3"/>
      <c r="K101" s="3" t="s">
        <v>85</v>
      </c>
      <c r="L101" s="3"/>
      <c r="M101" s="3" t="s">
        <v>300</v>
      </c>
      <c r="N101" s="3" t="s">
        <v>301</v>
      </c>
    </row>
    <row r="102" spans="1:14" ht="55.05" customHeight="1" x14ac:dyDescent="0.3">
      <c r="A102" s="3" t="s">
        <v>406</v>
      </c>
      <c r="B102" s="3" t="s">
        <v>172</v>
      </c>
      <c r="C102" s="3" t="s">
        <v>173</v>
      </c>
      <c r="D102" s="3" t="s">
        <v>174</v>
      </c>
      <c r="E102" s="3" t="s">
        <v>309</v>
      </c>
      <c r="F102" s="3" t="s">
        <v>298</v>
      </c>
      <c r="G102" s="3" t="s">
        <v>299</v>
      </c>
      <c r="H102" s="3" t="s">
        <v>85</v>
      </c>
      <c r="I102" s="3"/>
      <c r="J102" s="3"/>
      <c r="K102" s="3" t="s">
        <v>85</v>
      </c>
      <c r="L102" s="3"/>
      <c r="M102" s="3" t="s">
        <v>300</v>
      </c>
      <c r="N102" s="3" t="s">
        <v>301</v>
      </c>
    </row>
    <row r="103" spans="1:14" ht="55.05" customHeight="1" x14ac:dyDescent="0.3">
      <c r="A103" s="3" t="s">
        <v>407</v>
      </c>
      <c r="B103" s="3" t="s">
        <v>172</v>
      </c>
      <c r="C103" s="3" t="s">
        <v>173</v>
      </c>
      <c r="D103" s="3" t="s">
        <v>174</v>
      </c>
      <c r="E103" s="3" t="s">
        <v>311</v>
      </c>
      <c r="F103" s="3" t="s">
        <v>298</v>
      </c>
      <c r="G103" s="3" t="s">
        <v>299</v>
      </c>
      <c r="H103" s="3" t="s">
        <v>85</v>
      </c>
      <c r="I103" s="3"/>
      <c r="J103" s="3"/>
      <c r="K103" s="3" t="s">
        <v>85</v>
      </c>
      <c r="L103" s="3"/>
      <c r="M103" s="3" t="s">
        <v>300</v>
      </c>
      <c r="N103" s="3" t="s">
        <v>301</v>
      </c>
    </row>
    <row r="104" spans="1:14" ht="55.05" customHeight="1" x14ac:dyDescent="0.3">
      <c r="A104" s="3" t="s">
        <v>408</v>
      </c>
      <c r="B104" s="3" t="s">
        <v>177</v>
      </c>
      <c r="C104" s="3" t="s">
        <v>178</v>
      </c>
      <c r="D104" s="3" t="s">
        <v>179</v>
      </c>
      <c r="E104" s="3" t="s">
        <v>297</v>
      </c>
      <c r="F104" s="3" t="s">
        <v>298</v>
      </c>
      <c r="G104" s="3" t="s">
        <v>299</v>
      </c>
      <c r="H104" s="3" t="s">
        <v>85</v>
      </c>
      <c r="I104" s="3"/>
      <c r="J104" s="3"/>
      <c r="K104" s="3" t="s">
        <v>85</v>
      </c>
      <c r="L104" s="3"/>
      <c r="M104" s="3" t="s">
        <v>300</v>
      </c>
      <c r="N104" s="3" t="s">
        <v>301</v>
      </c>
    </row>
    <row r="105" spans="1:14" ht="55.05" customHeight="1" x14ac:dyDescent="0.3">
      <c r="A105" s="3" t="s">
        <v>409</v>
      </c>
      <c r="B105" s="3" t="s">
        <v>177</v>
      </c>
      <c r="C105" s="3" t="s">
        <v>178</v>
      </c>
      <c r="D105" s="3" t="s">
        <v>179</v>
      </c>
      <c r="E105" s="3" t="s">
        <v>303</v>
      </c>
      <c r="F105" s="3" t="s">
        <v>298</v>
      </c>
      <c r="G105" s="3" t="s">
        <v>299</v>
      </c>
      <c r="H105" s="3" t="s">
        <v>85</v>
      </c>
      <c r="I105" s="3"/>
      <c r="J105" s="3"/>
      <c r="K105" s="3" t="s">
        <v>85</v>
      </c>
      <c r="L105" s="3"/>
      <c r="M105" s="3" t="s">
        <v>300</v>
      </c>
      <c r="N105" s="3" t="s">
        <v>301</v>
      </c>
    </row>
    <row r="106" spans="1:14" ht="55.05" customHeight="1" x14ac:dyDescent="0.3">
      <c r="A106" s="3" t="s">
        <v>410</v>
      </c>
      <c r="B106" s="3" t="s">
        <v>177</v>
      </c>
      <c r="C106" s="3" t="s">
        <v>178</v>
      </c>
      <c r="D106" s="3" t="s">
        <v>179</v>
      </c>
      <c r="E106" s="3" t="s">
        <v>305</v>
      </c>
      <c r="F106" s="3" t="s">
        <v>298</v>
      </c>
      <c r="G106" s="3" t="s">
        <v>299</v>
      </c>
      <c r="H106" s="3" t="s">
        <v>85</v>
      </c>
      <c r="I106" s="3"/>
      <c r="J106" s="3"/>
      <c r="K106" s="3" t="s">
        <v>85</v>
      </c>
      <c r="L106" s="3"/>
      <c r="M106" s="3" t="s">
        <v>300</v>
      </c>
      <c r="N106" s="3" t="s">
        <v>301</v>
      </c>
    </row>
    <row r="107" spans="1:14" ht="55.05" customHeight="1" x14ac:dyDescent="0.3">
      <c r="A107" s="3" t="s">
        <v>411</v>
      </c>
      <c r="B107" s="3" t="s">
        <v>177</v>
      </c>
      <c r="C107" s="3" t="s">
        <v>178</v>
      </c>
      <c r="D107" s="3" t="s">
        <v>179</v>
      </c>
      <c r="E107" s="3" t="s">
        <v>307</v>
      </c>
      <c r="F107" s="3" t="s">
        <v>298</v>
      </c>
      <c r="G107" s="3" t="s">
        <v>299</v>
      </c>
      <c r="H107" s="3" t="s">
        <v>85</v>
      </c>
      <c r="I107" s="3"/>
      <c r="J107" s="3"/>
      <c r="K107" s="3" t="s">
        <v>85</v>
      </c>
      <c r="L107" s="3"/>
      <c r="M107" s="3" t="s">
        <v>300</v>
      </c>
      <c r="N107" s="3" t="s">
        <v>301</v>
      </c>
    </row>
    <row r="108" spans="1:14" ht="55.05" customHeight="1" x14ac:dyDescent="0.3">
      <c r="A108" s="3" t="s">
        <v>412</v>
      </c>
      <c r="B108" s="3" t="s">
        <v>177</v>
      </c>
      <c r="C108" s="3" t="s">
        <v>178</v>
      </c>
      <c r="D108" s="3" t="s">
        <v>179</v>
      </c>
      <c r="E108" s="3" t="s">
        <v>309</v>
      </c>
      <c r="F108" s="3" t="s">
        <v>298</v>
      </c>
      <c r="G108" s="3" t="s">
        <v>299</v>
      </c>
      <c r="H108" s="3" t="s">
        <v>85</v>
      </c>
      <c r="I108" s="3"/>
      <c r="J108" s="3"/>
      <c r="K108" s="3" t="s">
        <v>85</v>
      </c>
      <c r="L108" s="3"/>
      <c r="M108" s="3" t="s">
        <v>300</v>
      </c>
      <c r="N108" s="3" t="s">
        <v>301</v>
      </c>
    </row>
    <row r="109" spans="1:14" ht="55.05" customHeight="1" x14ac:dyDescent="0.3">
      <c r="A109" s="3" t="s">
        <v>413</v>
      </c>
      <c r="B109" s="3" t="s">
        <v>177</v>
      </c>
      <c r="C109" s="3" t="s">
        <v>178</v>
      </c>
      <c r="D109" s="3" t="s">
        <v>179</v>
      </c>
      <c r="E109" s="3" t="s">
        <v>311</v>
      </c>
      <c r="F109" s="3" t="s">
        <v>298</v>
      </c>
      <c r="G109" s="3" t="s">
        <v>299</v>
      </c>
      <c r="H109" s="3" t="s">
        <v>85</v>
      </c>
      <c r="I109" s="3"/>
      <c r="J109" s="3"/>
      <c r="K109" s="3" t="s">
        <v>85</v>
      </c>
      <c r="L109" s="3"/>
      <c r="M109" s="3" t="s">
        <v>300</v>
      </c>
      <c r="N109" s="3" t="s">
        <v>301</v>
      </c>
    </row>
    <row r="110" spans="1:14" ht="55.05" customHeight="1" x14ac:dyDescent="0.3">
      <c r="A110" s="3" t="s">
        <v>414</v>
      </c>
      <c r="B110" s="3" t="s">
        <v>182</v>
      </c>
      <c r="C110" s="3" t="s">
        <v>183</v>
      </c>
      <c r="D110" s="3" t="s">
        <v>184</v>
      </c>
      <c r="E110" s="3" t="s">
        <v>297</v>
      </c>
      <c r="F110" s="3" t="s">
        <v>298</v>
      </c>
      <c r="G110" s="3" t="s">
        <v>299</v>
      </c>
      <c r="H110" s="3" t="s">
        <v>85</v>
      </c>
      <c r="I110" s="3"/>
      <c r="J110" s="3"/>
      <c r="K110" s="3" t="s">
        <v>85</v>
      </c>
      <c r="L110" s="3"/>
      <c r="M110" s="3" t="s">
        <v>300</v>
      </c>
      <c r="N110" s="3" t="s">
        <v>301</v>
      </c>
    </row>
    <row r="111" spans="1:14" ht="55.05" customHeight="1" x14ac:dyDescent="0.3">
      <c r="A111" s="3" t="s">
        <v>415</v>
      </c>
      <c r="B111" s="3" t="s">
        <v>182</v>
      </c>
      <c r="C111" s="3" t="s">
        <v>183</v>
      </c>
      <c r="D111" s="3" t="s">
        <v>184</v>
      </c>
      <c r="E111" s="3" t="s">
        <v>303</v>
      </c>
      <c r="F111" s="3" t="s">
        <v>298</v>
      </c>
      <c r="G111" s="3" t="s">
        <v>299</v>
      </c>
      <c r="H111" s="3" t="s">
        <v>85</v>
      </c>
      <c r="I111" s="3"/>
      <c r="J111" s="3"/>
      <c r="K111" s="3" t="s">
        <v>85</v>
      </c>
      <c r="L111" s="3"/>
      <c r="M111" s="3" t="s">
        <v>300</v>
      </c>
      <c r="N111" s="3" t="s">
        <v>301</v>
      </c>
    </row>
    <row r="112" spans="1:14" ht="55.05" customHeight="1" x14ac:dyDescent="0.3">
      <c r="A112" s="3" t="s">
        <v>416</v>
      </c>
      <c r="B112" s="3" t="s">
        <v>182</v>
      </c>
      <c r="C112" s="3" t="s">
        <v>183</v>
      </c>
      <c r="D112" s="3" t="s">
        <v>184</v>
      </c>
      <c r="E112" s="3" t="s">
        <v>305</v>
      </c>
      <c r="F112" s="3" t="s">
        <v>298</v>
      </c>
      <c r="G112" s="3" t="s">
        <v>299</v>
      </c>
      <c r="H112" s="3" t="s">
        <v>85</v>
      </c>
      <c r="I112" s="3"/>
      <c r="J112" s="3"/>
      <c r="K112" s="3" t="s">
        <v>85</v>
      </c>
      <c r="L112" s="3"/>
      <c r="M112" s="3" t="s">
        <v>300</v>
      </c>
      <c r="N112" s="3" t="s">
        <v>301</v>
      </c>
    </row>
    <row r="113" spans="1:14" ht="55.05" customHeight="1" x14ac:dyDescent="0.3">
      <c r="A113" s="3" t="s">
        <v>417</v>
      </c>
      <c r="B113" s="3" t="s">
        <v>182</v>
      </c>
      <c r="C113" s="3" t="s">
        <v>183</v>
      </c>
      <c r="D113" s="3" t="s">
        <v>184</v>
      </c>
      <c r="E113" s="3" t="s">
        <v>307</v>
      </c>
      <c r="F113" s="3" t="s">
        <v>298</v>
      </c>
      <c r="G113" s="3" t="s">
        <v>299</v>
      </c>
      <c r="H113" s="3" t="s">
        <v>85</v>
      </c>
      <c r="I113" s="3"/>
      <c r="J113" s="3"/>
      <c r="K113" s="3" t="s">
        <v>85</v>
      </c>
      <c r="L113" s="3"/>
      <c r="M113" s="3" t="s">
        <v>300</v>
      </c>
      <c r="N113" s="3" t="s">
        <v>301</v>
      </c>
    </row>
    <row r="114" spans="1:14" ht="55.05" customHeight="1" x14ac:dyDescent="0.3">
      <c r="A114" s="3" t="s">
        <v>418</v>
      </c>
      <c r="B114" s="3" t="s">
        <v>182</v>
      </c>
      <c r="C114" s="3" t="s">
        <v>183</v>
      </c>
      <c r="D114" s="3" t="s">
        <v>184</v>
      </c>
      <c r="E114" s="3" t="s">
        <v>309</v>
      </c>
      <c r="F114" s="3" t="s">
        <v>298</v>
      </c>
      <c r="G114" s="3" t="s">
        <v>299</v>
      </c>
      <c r="H114" s="3" t="s">
        <v>85</v>
      </c>
      <c r="I114" s="3"/>
      <c r="J114" s="3"/>
      <c r="K114" s="3" t="s">
        <v>85</v>
      </c>
      <c r="L114" s="3"/>
      <c r="M114" s="3" t="s">
        <v>300</v>
      </c>
      <c r="N114" s="3" t="s">
        <v>301</v>
      </c>
    </row>
    <row r="115" spans="1:14" ht="55.05" customHeight="1" x14ac:dyDescent="0.3">
      <c r="A115" s="3" t="s">
        <v>419</v>
      </c>
      <c r="B115" s="3" t="s">
        <v>182</v>
      </c>
      <c r="C115" s="3" t="s">
        <v>183</v>
      </c>
      <c r="D115" s="3" t="s">
        <v>184</v>
      </c>
      <c r="E115" s="3" t="s">
        <v>311</v>
      </c>
      <c r="F115" s="3" t="s">
        <v>298</v>
      </c>
      <c r="G115" s="3" t="s">
        <v>299</v>
      </c>
      <c r="H115" s="3" t="s">
        <v>85</v>
      </c>
      <c r="I115" s="3"/>
      <c r="J115" s="3"/>
      <c r="K115" s="3" t="s">
        <v>85</v>
      </c>
      <c r="L115" s="3"/>
      <c r="M115" s="3" t="s">
        <v>300</v>
      </c>
      <c r="N115" s="3" t="s">
        <v>301</v>
      </c>
    </row>
    <row r="116" spans="1:14" ht="55.05" customHeight="1" x14ac:dyDescent="0.3">
      <c r="A116" s="3" t="s">
        <v>420</v>
      </c>
      <c r="B116" s="3" t="s">
        <v>187</v>
      </c>
      <c r="C116" s="3" t="s">
        <v>188</v>
      </c>
      <c r="D116" s="3" t="s">
        <v>189</v>
      </c>
      <c r="E116" s="3" t="s">
        <v>297</v>
      </c>
      <c r="F116" s="3" t="s">
        <v>298</v>
      </c>
      <c r="G116" s="3" t="s">
        <v>299</v>
      </c>
      <c r="H116" s="3" t="s">
        <v>85</v>
      </c>
      <c r="I116" s="3"/>
      <c r="J116" s="3"/>
      <c r="K116" s="3" t="s">
        <v>85</v>
      </c>
      <c r="L116" s="3"/>
      <c r="M116" s="3" t="s">
        <v>300</v>
      </c>
      <c r="N116" s="3" t="s">
        <v>301</v>
      </c>
    </row>
    <row r="117" spans="1:14" ht="55.05" customHeight="1" x14ac:dyDescent="0.3">
      <c r="A117" s="3" t="s">
        <v>421</v>
      </c>
      <c r="B117" s="3" t="s">
        <v>187</v>
      </c>
      <c r="C117" s="3" t="s">
        <v>188</v>
      </c>
      <c r="D117" s="3" t="s">
        <v>189</v>
      </c>
      <c r="E117" s="3" t="s">
        <v>303</v>
      </c>
      <c r="F117" s="3" t="s">
        <v>298</v>
      </c>
      <c r="G117" s="3" t="s">
        <v>299</v>
      </c>
      <c r="H117" s="3" t="s">
        <v>85</v>
      </c>
      <c r="I117" s="3"/>
      <c r="J117" s="3"/>
      <c r="K117" s="3" t="s">
        <v>85</v>
      </c>
      <c r="L117" s="3"/>
      <c r="M117" s="3" t="s">
        <v>300</v>
      </c>
      <c r="N117" s="3" t="s">
        <v>301</v>
      </c>
    </row>
    <row r="118" spans="1:14" ht="55.05" customHeight="1" x14ac:dyDescent="0.3">
      <c r="A118" s="3" t="s">
        <v>422</v>
      </c>
      <c r="B118" s="3" t="s">
        <v>187</v>
      </c>
      <c r="C118" s="3" t="s">
        <v>188</v>
      </c>
      <c r="D118" s="3" t="s">
        <v>189</v>
      </c>
      <c r="E118" s="3" t="s">
        <v>305</v>
      </c>
      <c r="F118" s="3" t="s">
        <v>298</v>
      </c>
      <c r="G118" s="3" t="s">
        <v>299</v>
      </c>
      <c r="H118" s="3" t="s">
        <v>85</v>
      </c>
      <c r="I118" s="3"/>
      <c r="J118" s="3"/>
      <c r="K118" s="3" t="s">
        <v>85</v>
      </c>
      <c r="L118" s="3"/>
      <c r="M118" s="3" t="s">
        <v>300</v>
      </c>
      <c r="N118" s="3" t="s">
        <v>301</v>
      </c>
    </row>
    <row r="119" spans="1:14" ht="55.05" customHeight="1" x14ac:dyDescent="0.3">
      <c r="A119" s="3" t="s">
        <v>423</v>
      </c>
      <c r="B119" s="3" t="s">
        <v>187</v>
      </c>
      <c r="C119" s="3" t="s">
        <v>188</v>
      </c>
      <c r="D119" s="3" t="s">
        <v>189</v>
      </c>
      <c r="E119" s="3" t="s">
        <v>307</v>
      </c>
      <c r="F119" s="3" t="s">
        <v>298</v>
      </c>
      <c r="G119" s="3" t="s">
        <v>299</v>
      </c>
      <c r="H119" s="3" t="s">
        <v>85</v>
      </c>
      <c r="I119" s="3"/>
      <c r="J119" s="3"/>
      <c r="K119" s="3" t="s">
        <v>85</v>
      </c>
      <c r="L119" s="3"/>
      <c r="M119" s="3" t="s">
        <v>300</v>
      </c>
      <c r="N119" s="3" t="s">
        <v>301</v>
      </c>
    </row>
    <row r="120" spans="1:14" ht="55.05" customHeight="1" x14ac:dyDescent="0.3">
      <c r="A120" s="3" t="s">
        <v>424</v>
      </c>
      <c r="B120" s="3" t="s">
        <v>187</v>
      </c>
      <c r="C120" s="3" t="s">
        <v>188</v>
      </c>
      <c r="D120" s="3" t="s">
        <v>189</v>
      </c>
      <c r="E120" s="3" t="s">
        <v>309</v>
      </c>
      <c r="F120" s="3" t="s">
        <v>298</v>
      </c>
      <c r="G120" s="3" t="s">
        <v>299</v>
      </c>
      <c r="H120" s="3" t="s">
        <v>85</v>
      </c>
      <c r="I120" s="3"/>
      <c r="J120" s="3"/>
      <c r="K120" s="3" t="s">
        <v>85</v>
      </c>
      <c r="L120" s="3"/>
      <c r="M120" s="3" t="s">
        <v>300</v>
      </c>
      <c r="N120" s="3" t="s">
        <v>301</v>
      </c>
    </row>
    <row r="121" spans="1:14" ht="55.05" customHeight="1" x14ac:dyDescent="0.3">
      <c r="A121" s="3" t="s">
        <v>425</v>
      </c>
      <c r="B121" s="3" t="s">
        <v>187</v>
      </c>
      <c r="C121" s="3" t="s">
        <v>188</v>
      </c>
      <c r="D121" s="3" t="s">
        <v>189</v>
      </c>
      <c r="E121" s="3" t="s">
        <v>311</v>
      </c>
      <c r="F121" s="3" t="s">
        <v>298</v>
      </c>
      <c r="G121" s="3" t="s">
        <v>299</v>
      </c>
      <c r="H121" s="3" t="s">
        <v>85</v>
      </c>
      <c r="I121" s="3"/>
      <c r="J121" s="3"/>
      <c r="K121" s="3" t="s">
        <v>85</v>
      </c>
      <c r="L121" s="3"/>
      <c r="M121" s="3" t="s">
        <v>300</v>
      </c>
      <c r="N121" s="3" t="s">
        <v>301</v>
      </c>
    </row>
    <row r="122" spans="1:14" ht="55.05" customHeight="1" x14ac:dyDescent="0.3">
      <c r="A122" s="3" t="s">
        <v>426</v>
      </c>
      <c r="B122" s="3" t="s">
        <v>192</v>
      </c>
      <c r="C122" s="3" t="s">
        <v>193</v>
      </c>
      <c r="D122" s="3" t="s">
        <v>194</v>
      </c>
      <c r="E122" s="3" t="s">
        <v>297</v>
      </c>
      <c r="F122" s="3" t="s">
        <v>298</v>
      </c>
      <c r="G122" s="3" t="s">
        <v>299</v>
      </c>
      <c r="H122" s="3" t="s">
        <v>85</v>
      </c>
      <c r="I122" s="3"/>
      <c r="J122" s="3"/>
      <c r="K122" s="3" t="s">
        <v>85</v>
      </c>
      <c r="L122" s="3"/>
      <c r="M122" s="3" t="s">
        <v>300</v>
      </c>
      <c r="N122" s="3" t="s">
        <v>301</v>
      </c>
    </row>
    <row r="123" spans="1:14" ht="55.05" customHeight="1" x14ac:dyDescent="0.3">
      <c r="A123" s="3" t="s">
        <v>427</v>
      </c>
      <c r="B123" s="3" t="s">
        <v>192</v>
      </c>
      <c r="C123" s="3" t="s">
        <v>193</v>
      </c>
      <c r="D123" s="3" t="s">
        <v>194</v>
      </c>
      <c r="E123" s="3" t="s">
        <v>303</v>
      </c>
      <c r="F123" s="3" t="s">
        <v>298</v>
      </c>
      <c r="G123" s="3" t="s">
        <v>299</v>
      </c>
      <c r="H123" s="3" t="s">
        <v>85</v>
      </c>
      <c r="I123" s="3"/>
      <c r="J123" s="3"/>
      <c r="K123" s="3" t="s">
        <v>85</v>
      </c>
      <c r="L123" s="3"/>
      <c r="M123" s="3" t="s">
        <v>300</v>
      </c>
      <c r="N123" s="3" t="s">
        <v>301</v>
      </c>
    </row>
    <row r="124" spans="1:14" ht="55.05" customHeight="1" x14ac:dyDescent="0.3">
      <c r="A124" s="3" t="s">
        <v>428</v>
      </c>
      <c r="B124" s="3" t="s">
        <v>192</v>
      </c>
      <c r="C124" s="3" t="s">
        <v>193</v>
      </c>
      <c r="D124" s="3" t="s">
        <v>194</v>
      </c>
      <c r="E124" s="3" t="s">
        <v>305</v>
      </c>
      <c r="F124" s="3" t="s">
        <v>298</v>
      </c>
      <c r="G124" s="3" t="s">
        <v>299</v>
      </c>
      <c r="H124" s="3" t="s">
        <v>85</v>
      </c>
      <c r="I124" s="3"/>
      <c r="J124" s="3"/>
      <c r="K124" s="3" t="s">
        <v>85</v>
      </c>
      <c r="L124" s="3"/>
      <c r="M124" s="3" t="s">
        <v>300</v>
      </c>
      <c r="N124" s="3" t="s">
        <v>301</v>
      </c>
    </row>
    <row r="125" spans="1:14" ht="55.05" customHeight="1" x14ac:dyDescent="0.3">
      <c r="A125" s="3" t="s">
        <v>429</v>
      </c>
      <c r="B125" s="3" t="s">
        <v>192</v>
      </c>
      <c r="C125" s="3" t="s">
        <v>193</v>
      </c>
      <c r="D125" s="3" t="s">
        <v>194</v>
      </c>
      <c r="E125" s="3" t="s">
        <v>307</v>
      </c>
      <c r="F125" s="3" t="s">
        <v>298</v>
      </c>
      <c r="G125" s="3" t="s">
        <v>299</v>
      </c>
      <c r="H125" s="3" t="s">
        <v>85</v>
      </c>
      <c r="I125" s="3"/>
      <c r="J125" s="3"/>
      <c r="K125" s="3" t="s">
        <v>85</v>
      </c>
      <c r="L125" s="3"/>
      <c r="M125" s="3" t="s">
        <v>300</v>
      </c>
      <c r="N125" s="3" t="s">
        <v>301</v>
      </c>
    </row>
    <row r="126" spans="1:14" ht="55.05" customHeight="1" x14ac:dyDescent="0.3">
      <c r="A126" s="3" t="s">
        <v>430</v>
      </c>
      <c r="B126" s="3" t="s">
        <v>192</v>
      </c>
      <c r="C126" s="3" t="s">
        <v>193</v>
      </c>
      <c r="D126" s="3" t="s">
        <v>194</v>
      </c>
      <c r="E126" s="3" t="s">
        <v>309</v>
      </c>
      <c r="F126" s="3" t="s">
        <v>298</v>
      </c>
      <c r="G126" s="3" t="s">
        <v>299</v>
      </c>
      <c r="H126" s="3" t="s">
        <v>85</v>
      </c>
      <c r="I126" s="3"/>
      <c r="J126" s="3"/>
      <c r="K126" s="3" t="s">
        <v>85</v>
      </c>
      <c r="L126" s="3"/>
      <c r="M126" s="3" t="s">
        <v>300</v>
      </c>
      <c r="N126" s="3" t="s">
        <v>301</v>
      </c>
    </row>
    <row r="127" spans="1:14" ht="55.05" customHeight="1" x14ac:dyDescent="0.3">
      <c r="A127" s="3" t="s">
        <v>431</v>
      </c>
      <c r="B127" s="3" t="s">
        <v>192</v>
      </c>
      <c r="C127" s="3" t="s">
        <v>193</v>
      </c>
      <c r="D127" s="3" t="s">
        <v>194</v>
      </c>
      <c r="E127" s="3" t="s">
        <v>311</v>
      </c>
      <c r="F127" s="3" t="s">
        <v>298</v>
      </c>
      <c r="G127" s="3" t="s">
        <v>299</v>
      </c>
      <c r="H127" s="3" t="s">
        <v>85</v>
      </c>
      <c r="I127" s="3"/>
      <c r="J127" s="3"/>
      <c r="K127" s="3" t="s">
        <v>85</v>
      </c>
      <c r="L127" s="3"/>
      <c r="M127" s="3" t="s">
        <v>300</v>
      </c>
      <c r="N127" s="3" t="s">
        <v>301</v>
      </c>
    </row>
    <row r="128" spans="1:14" ht="55.05" customHeight="1" x14ac:dyDescent="0.3">
      <c r="A128" s="3" t="s">
        <v>432</v>
      </c>
      <c r="B128" s="3" t="s">
        <v>197</v>
      </c>
      <c r="C128" s="3" t="s">
        <v>198</v>
      </c>
      <c r="D128" s="3" t="s">
        <v>199</v>
      </c>
      <c r="E128" s="3" t="s">
        <v>297</v>
      </c>
      <c r="F128" s="3" t="s">
        <v>298</v>
      </c>
      <c r="G128" s="3" t="s">
        <v>299</v>
      </c>
      <c r="H128" s="3" t="s">
        <v>85</v>
      </c>
      <c r="I128" s="3"/>
      <c r="J128" s="3"/>
      <c r="K128" s="3" t="s">
        <v>85</v>
      </c>
      <c r="L128" s="3"/>
      <c r="M128" s="3" t="s">
        <v>300</v>
      </c>
      <c r="N128" s="3" t="s">
        <v>301</v>
      </c>
    </row>
    <row r="129" spans="1:14" ht="55.05" customHeight="1" x14ac:dyDescent="0.3">
      <c r="A129" s="3" t="s">
        <v>433</v>
      </c>
      <c r="B129" s="3" t="s">
        <v>197</v>
      </c>
      <c r="C129" s="3" t="s">
        <v>198</v>
      </c>
      <c r="D129" s="3" t="s">
        <v>199</v>
      </c>
      <c r="E129" s="3" t="s">
        <v>303</v>
      </c>
      <c r="F129" s="3" t="s">
        <v>298</v>
      </c>
      <c r="G129" s="3" t="s">
        <v>299</v>
      </c>
      <c r="H129" s="3" t="s">
        <v>85</v>
      </c>
      <c r="I129" s="3"/>
      <c r="J129" s="3"/>
      <c r="K129" s="3" t="s">
        <v>85</v>
      </c>
      <c r="L129" s="3"/>
      <c r="M129" s="3" t="s">
        <v>300</v>
      </c>
      <c r="N129" s="3" t="s">
        <v>301</v>
      </c>
    </row>
    <row r="130" spans="1:14" ht="55.05" customHeight="1" x14ac:dyDescent="0.3">
      <c r="A130" s="3" t="s">
        <v>434</v>
      </c>
      <c r="B130" s="3" t="s">
        <v>197</v>
      </c>
      <c r="C130" s="3" t="s">
        <v>198</v>
      </c>
      <c r="D130" s="3" t="s">
        <v>199</v>
      </c>
      <c r="E130" s="3" t="s">
        <v>305</v>
      </c>
      <c r="F130" s="3" t="s">
        <v>298</v>
      </c>
      <c r="G130" s="3" t="s">
        <v>299</v>
      </c>
      <c r="H130" s="3" t="s">
        <v>85</v>
      </c>
      <c r="I130" s="3"/>
      <c r="J130" s="3"/>
      <c r="K130" s="3" t="s">
        <v>85</v>
      </c>
      <c r="L130" s="3"/>
      <c r="M130" s="3" t="s">
        <v>300</v>
      </c>
      <c r="N130" s="3" t="s">
        <v>301</v>
      </c>
    </row>
    <row r="131" spans="1:14" ht="55.05" customHeight="1" x14ac:dyDescent="0.3">
      <c r="A131" s="3" t="s">
        <v>435</v>
      </c>
      <c r="B131" s="3" t="s">
        <v>197</v>
      </c>
      <c r="C131" s="3" t="s">
        <v>198</v>
      </c>
      <c r="D131" s="3" t="s">
        <v>199</v>
      </c>
      <c r="E131" s="3" t="s">
        <v>307</v>
      </c>
      <c r="F131" s="3" t="s">
        <v>298</v>
      </c>
      <c r="G131" s="3" t="s">
        <v>299</v>
      </c>
      <c r="H131" s="3" t="s">
        <v>85</v>
      </c>
      <c r="I131" s="3"/>
      <c r="J131" s="3"/>
      <c r="K131" s="3" t="s">
        <v>85</v>
      </c>
      <c r="L131" s="3"/>
      <c r="M131" s="3" t="s">
        <v>300</v>
      </c>
      <c r="N131" s="3" t="s">
        <v>301</v>
      </c>
    </row>
    <row r="132" spans="1:14" ht="55.05" customHeight="1" x14ac:dyDescent="0.3">
      <c r="A132" s="3" t="s">
        <v>436</v>
      </c>
      <c r="B132" s="3" t="s">
        <v>197</v>
      </c>
      <c r="C132" s="3" t="s">
        <v>198</v>
      </c>
      <c r="D132" s="3" t="s">
        <v>199</v>
      </c>
      <c r="E132" s="3" t="s">
        <v>309</v>
      </c>
      <c r="F132" s="3" t="s">
        <v>298</v>
      </c>
      <c r="G132" s="3" t="s">
        <v>299</v>
      </c>
      <c r="H132" s="3" t="s">
        <v>85</v>
      </c>
      <c r="I132" s="3"/>
      <c r="J132" s="3"/>
      <c r="K132" s="3" t="s">
        <v>85</v>
      </c>
      <c r="L132" s="3"/>
      <c r="M132" s="3" t="s">
        <v>300</v>
      </c>
      <c r="N132" s="3" t="s">
        <v>301</v>
      </c>
    </row>
    <row r="133" spans="1:14" ht="55.05" customHeight="1" x14ac:dyDescent="0.3">
      <c r="A133" s="3" t="s">
        <v>437</v>
      </c>
      <c r="B133" s="3" t="s">
        <v>197</v>
      </c>
      <c r="C133" s="3" t="s">
        <v>198</v>
      </c>
      <c r="D133" s="3" t="s">
        <v>199</v>
      </c>
      <c r="E133" s="3" t="s">
        <v>311</v>
      </c>
      <c r="F133" s="3" t="s">
        <v>298</v>
      </c>
      <c r="G133" s="3" t="s">
        <v>299</v>
      </c>
      <c r="H133" s="3" t="s">
        <v>85</v>
      </c>
      <c r="I133" s="3"/>
      <c r="J133" s="3"/>
      <c r="K133" s="3" t="s">
        <v>85</v>
      </c>
      <c r="L133" s="3"/>
      <c r="M133" s="3" t="s">
        <v>300</v>
      </c>
      <c r="N133" s="3" t="s">
        <v>301</v>
      </c>
    </row>
    <row r="134" spans="1:14" ht="55.05" customHeight="1" x14ac:dyDescent="0.3">
      <c r="A134" s="3" t="s">
        <v>438</v>
      </c>
      <c r="B134" s="3" t="s">
        <v>202</v>
      </c>
      <c r="C134" s="3" t="s">
        <v>203</v>
      </c>
      <c r="D134" s="3" t="s">
        <v>204</v>
      </c>
      <c r="E134" s="3" t="s">
        <v>297</v>
      </c>
      <c r="F134" s="3" t="s">
        <v>298</v>
      </c>
      <c r="G134" s="3" t="s">
        <v>299</v>
      </c>
      <c r="H134" s="3" t="s">
        <v>85</v>
      </c>
      <c r="I134" s="3"/>
      <c r="J134" s="3"/>
      <c r="K134" s="3" t="s">
        <v>85</v>
      </c>
      <c r="L134" s="3"/>
      <c r="M134" s="3" t="s">
        <v>300</v>
      </c>
      <c r="N134" s="3" t="s">
        <v>301</v>
      </c>
    </row>
    <row r="135" spans="1:14" ht="55.05" customHeight="1" x14ac:dyDescent="0.3">
      <c r="A135" s="3" t="s">
        <v>439</v>
      </c>
      <c r="B135" s="3" t="s">
        <v>202</v>
      </c>
      <c r="C135" s="3" t="s">
        <v>203</v>
      </c>
      <c r="D135" s="3" t="s">
        <v>204</v>
      </c>
      <c r="E135" s="3" t="s">
        <v>303</v>
      </c>
      <c r="F135" s="3" t="s">
        <v>298</v>
      </c>
      <c r="G135" s="3" t="s">
        <v>299</v>
      </c>
      <c r="H135" s="3" t="s">
        <v>85</v>
      </c>
      <c r="I135" s="3"/>
      <c r="J135" s="3"/>
      <c r="K135" s="3" t="s">
        <v>85</v>
      </c>
      <c r="L135" s="3"/>
      <c r="M135" s="3" t="s">
        <v>300</v>
      </c>
      <c r="N135" s="3" t="s">
        <v>301</v>
      </c>
    </row>
    <row r="136" spans="1:14" ht="55.05" customHeight="1" x14ac:dyDescent="0.3">
      <c r="A136" s="3" t="s">
        <v>440</v>
      </c>
      <c r="B136" s="3" t="s">
        <v>202</v>
      </c>
      <c r="C136" s="3" t="s">
        <v>203</v>
      </c>
      <c r="D136" s="3" t="s">
        <v>204</v>
      </c>
      <c r="E136" s="3" t="s">
        <v>305</v>
      </c>
      <c r="F136" s="3" t="s">
        <v>298</v>
      </c>
      <c r="G136" s="3" t="s">
        <v>299</v>
      </c>
      <c r="H136" s="3" t="s">
        <v>85</v>
      </c>
      <c r="I136" s="3"/>
      <c r="J136" s="3"/>
      <c r="K136" s="3" t="s">
        <v>85</v>
      </c>
      <c r="L136" s="3"/>
      <c r="M136" s="3" t="s">
        <v>300</v>
      </c>
      <c r="N136" s="3" t="s">
        <v>301</v>
      </c>
    </row>
    <row r="137" spans="1:14" ht="55.05" customHeight="1" x14ac:dyDescent="0.3">
      <c r="A137" s="3" t="s">
        <v>441</v>
      </c>
      <c r="B137" s="3" t="s">
        <v>202</v>
      </c>
      <c r="C137" s="3" t="s">
        <v>203</v>
      </c>
      <c r="D137" s="3" t="s">
        <v>204</v>
      </c>
      <c r="E137" s="3" t="s">
        <v>307</v>
      </c>
      <c r="F137" s="3" t="s">
        <v>298</v>
      </c>
      <c r="G137" s="3" t="s">
        <v>299</v>
      </c>
      <c r="H137" s="3" t="s">
        <v>85</v>
      </c>
      <c r="I137" s="3"/>
      <c r="J137" s="3"/>
      <c r="K137" s="3" t="s">
        <v>85</v>
      </c>
      <c r="L137" s="3"/>
      <c r="M137" s="3" t="s">
        <v>300</v>
      </c>
      <c r="N137" s="3" t="s">
        <v>301</v>
      </c>
    </row>
    <row r="138" spans="1:14" ht="55.05" customHeight="1" x14ac:dyDescent="0.3">
      <c r="A138" s="3" t="s">
        <v>442</v>
      </c>
      <c r="B138" s="3" t="s">
        <v>202</v>
      </c>
      <c r="C138" s="3" t="s">
        <v>203</v>
      </c>
      <c r="D138" s="3" t="s">
        <v>204</v>
      </c>
      <c r="E138" s="3" t="s">
        <v>309</v>
      </c>
      <c r="F138" s="3" t="s">
        <v>298</v>
      </c>
      <c r="G138" s="3" t="s">
        <v>299</v>
      </c>
      <c r="H138" s="3" t="s">
        <v>85</v>
      </c>
      <c r="I138" s="3"/>
      <c r="J138" s="3"/>
      <c r="K138" s="3" t="s">
        <v>85</v>
      </c>
      <c r="L138" s="3"/>
      <c r="M138" s="3" t="s">
        <v>300</v>
      </c>
      <c r="N138" s="3" t="s">
        <v>301</v>
      </c>
    </row>
    <row r="139" spans="1:14" ht="55.05" customHeight="1" x14ac:dyDescent="0.3">
      <c r="A139" s="3" t="s">
        <v>443</v>
      </c>
      <c r="B139" s="3" t="s">
        <v>202</v>
      </c>
      <c r="C139" s="3" t="s">
        <v>203</v>
      </c>
      <c r="D139" s="3" t="s">
        <v>204</v>
      </c>
      <c r="E139" s="3" t="s">
        <v>311</v>
      </c>
      <c r="F139" s="3" t="s">
        <v>298</v>
      </c>
      <c r="G139" s="3" t="s">
        <v>299</v>
      </c>
      <c r="H139" s="3" t="s">
        <v>85</v>
      </c>
      <c r="I139" s="3"/>
      <c r="J139" s="3"/>
      <c r="K139" s="3" t="s">
        <v>85</v>
      </c>
      <c r="L139" s="3"/>
      <c r="M139" s="3" t="s">
        <v>300</v>
      </c>
      <c r="N139" s="3" t="s">
        <v>301</v>
      </c>
    </row>
    <row r="140" spans="1:14" ht="55.05" customHeight="1" x14ac:dyDescent="0.3">
      <c r="A140" s="3" t="s">
        <v>444</v>
      </c>
      <c r="B140" s="3" t="s">
        <v>207</v>
      </c>
      <c r="C140" s="3" t="s">
        <v>208</v>
      </c>
      <c r="D140" s="3" t="s">
        <v>209</v>
      </c>
      <c r="E140" s="3" t="s">
        <v>297</v>
      </c>
      <c r="F140" s="3" t="s">
        <v>298</v>
      </c>
      <c r="G140" s="3" t="s">
        <v>299</v>
      </c>
      <c r="H140" s="3" t="s">
        <v>85</v>
      </c>
      <c r="I140" s="3"/>
      <c r="J140" s="3"/>
      <c r="K140" s="3" t="s">
        <v>85</v>
      </c>
      <c r="L140" s="3"/>
      <c r="M140" s="3" t="s">
        <v>300</v>
      </c>
      <c r="N140" s="3" t="s">
        <v>301</v>
      </c>
    </row>
    <row r="141" spans="1:14" ht="55.05" customHeight="1" x14ac:dyDescent="0.3">
      <c r="A141" s="3" t="s">
        <v>445</v>
      </c>
      <c r="B141" s="3" t="s">
        <v>207</v>
      </c>
      <c r="C141" s="3" t="s">
        <v>208</v>
      </c>
      <c r="D141" s="3" t="s">
        <v>209</v>
      </c>
      <c r="E141" s="3" t="s">
        <v>303</v>
      </c>
      <c r="F141" s="3" t="s">
        <v>298</v>
      </c>
      <c r="G141" s="3" t="s">
        <v>299</v>
      </c>
      <c r="H141" s="3" t="s">
        <v>85</v>
      </c>
      <c r="I141" s="3"/>
      <c r="J141" s="3"/>
      <c r="K141" s="3" t="s">
        <v>85</v>
      </c>
      <c r="L141" s="3"/>
      <c r="M141" s="3" t="s">
        <v>300</v>
      </c>
      <c r="N141" s="3" t="s">
        <v>301</v>
      </c>
    </row>
    <row r="142" spans="1:14" ht="55.05" customHeight="1" x14ac:dyDescent="0.3">
      <c r="A142" s="3" t="s">
        <v>446</v>
      </c>
      <c r="B142" s="3" t="s">
        <v>207</v>
      </c>
      <c r="C142" s="3" t="s">
        <v>208</v>
      </c>
      <c r="D142" s="3" t="s">
        <v>209</v>
      </c>
      <c r="E142" s="3" t="s">
        <v>305</v>
      </c>
      <c r="F142" s="3" t="s">
        <v>298</v>
      </c>
      <c r="G142" s="3" t="s">
        <v>299</v>
      </c>
      <c r="H142" s="3" t="s">
        <v>85</v>
      </c>
      <c r="I142" s="3"/>
      <c r="J142" s="3"/>
      <c r="K142" s="3" t="s">
        <v>85</v>
      </c>
      <c r="L142" s="3"/>
      <c r="M142" s="3" t="s">
        <v>300</v>
      </c>
      <c r="N142" s="3" t="s">
        <v>301</v>
      </c>
    </row>
    <row r="143" spans="1:14" ht="55.05" customHeight="1" x14ac:dyDescent="0.3">
      <c r="A143" s="3" t="s">
        <v>447</v>
      </c>
      <c r="B143" s="3" t="s">
        <v>207</v>
      </c>
      <c r="C143" s="3" t="s">
        <v>208</v>
      </c>
      <c r="D143" s="3" t="s">
        <v>209</v>
      </c>
      <c r="E143" s="3" t="s">
        <v>307</v>
      </c>
      <c r="F143" s="3" t="s">
        <v>298</v>
      </c>
      <c r="G143" s="3" t="s">
        <v>299</v>
      </c>
      <c r="H143" s="3" t="s">
        <v>85</v>
      </c>
      <c r="I143" s="3"/>
      <c r="J143" s="3"/>
      <c r="K143" s="3" t="s">
        <v>85</v>
      </c>
      <c r="L143" s="3"/>
      <c r="M143" s="3" t="s">
        <v>300</v>
      </c>
      <c r="N143" s="3" t="s">
        <v>301</v>
      </c>
    </row>
    <row r="144" spans="1:14" ht="55.05" customHeight="1" x14ac:dyDescent="0.3">
      <c r="A144" s="3" t="s">
        <v>448</v>
      </c>
      <c r="B144" s="3" t="s">
        <v>207</v>
      </c>
      <c r="C144" s="3" t="s">
        <v>208</v>
      </c>
      <c r="D144" s="3" t="s">
        <v>209</v>
      </c>
      <c r="E144" s="3" t="s">
        <v>309</v>
      </c>
      <c r="F144" s="3" t="s">
        <v>298</v>
      </c>
      <c r="G144" s="3" t="s">
        <v>299</v>
      </c>
      <c r="H144" s="3" t="s">
        <v>85</v>
      </c>
      <c r="I144" s="3"/>
      <c r="J144" s="3"/>
      <c r="K144" s="3" t="s">
        <v>85</v>
      </c>
      <c r="L144" s="3"/>
      <c r="M144" s="3" t="s">
        <v>300</v>
      </c>
      <c r="N144" s="3" t="s">
        <v>301</v>
      </c>
    </row>
    <row r="145" spans="1:14" ht="55.05" customHeight="1" x14ac:dyDescent="0.3">
      <c r="A145" s="3" t="s">
        <v>449</v>
      </c>
      <c r="B145" s="3" t="s">
        <v>207</v>
      </c>
      <c r="C145" s="3" t="s">
        <v>208</v>
      </c>
      <c r="D145" s="3" t="s">
        <v>209</v>
      </c>
      <c r="E145" s="3" t="s">
        <v>311</v>
      </c>
      <c r="F145" s="3" t="s">
        <v>298</v>
      </c>
      <c r="G145" s="3" t="s">
        <v>299</v>
      </c>
      <c r="H145" s="3" t="s">
        <v>85</v>
      </c>
      <c r="I145" s="3"/>
      <c r="J145" s="3"/>
      <c r="K145" s="3" t="s">
        <v>85</v>
      </c>
      <c r="L145" s="3"/>
      <c r="M145" s="3" t="s">
        <v>300</v>
      </c>
      <c r="N145" s="3" t="s">
        <v>301</v>
      </c>
    </row>
    <row r="146" spans="1:14" ht="55.05" customHeight="1" x14ac:dyDescent="0.3">
      <c r="A146" s="3" t="s">
        <v>450</v>
      </c>
      <c r="B146" s="3" t="s">
        <v>212</v>
      </c>
      <c r="C146" s="3" t="s">
        <v>213</v>
      </c>
      <c r="D146" s="3" t="s">
        <v>214</v>
      </c>
      <c r="E146" s="3" t="s">
        <v>297</v>
      </c>
      <c r="F146" s="3" t="s">
        <v>298</v>
      </c>
      <c r="G146" s="3" t="s">
        <v>299</v>
      </c>
      <c r="H146" s="3" t="s">
        <v>85</v>
      </c>
      <c r="I146" s="3"/>
      <c r="J146" s="3"/>
      <c r="K146" s="3" t="s">
        <v>85</v>
      </c>
      <c r="L146" s="3"/>
      <c r="M146" s="3" t="s">
        <v>300</v>
      </c>
      <c r="N146" s="3" t="s">
        <v>301</v>
      </c>
    </row>
    <row r="147" spans="1:14" ht="55.05" customHeight="1" x14ac:dyDescent="0.3">
      <c r="A147" s="3" t="s">
        <v>451</v>
      </c>
      <c r="B147" s="3" t="s">
        <v>212</v>
      </c>
      <c r="C147" s="3" t="s">
        <v>213</v>
      </c>
      <c r="D147" s="3" t="s">
        <v>214</v>
      </c>
      <c r="E147" s="3" t="s">
        <v>303</v>
      </c>
      <c r="F147" s="3" t="s">
        <v>298</v>
      </c>
      <c r="G147" s="3" t="s">
        <v>299</v>
      </c>
      <c r="H147" s="3" t="s">
        <v>85</v>
      </c>
      <c r="I147" s="3"/>
      <c r="J147" s="3"/>
      <c r="K147" s="3" t="s">
        <v>85</v>
      </c>
      <c r="L147" s="3"/>
      <c r="M147" s="3" t="s">
        <v>300</v>
      </c>
      <c r="N147" s="3" t="s">
        <v>301</v>
      </c>
    </row>
    <row r="148" spans="1:14" ht="55.05" customHeight="1" x14ac:dyDescent="0.3">
      <c r="A148" s="3" t="s">
        <v>452</v>
      </c>
      <c r="B148" s="3" t="s">
        <v>212</v>
      </c>
      <c r="C148" s="3" t="s">
        <v>213</v>
      </c>
      <c r="D148" s="3" t="s">
        <v>214</v>
      </c>
      <c r="E148" s="3" t="s">
        <v>305</v>
      </c>
      <c r="F148" s="3" t="s">
        <v>298</v>
      </c>
      <c r="G148" s="3" t="s">
        <v>299</v>
      </c>
      <c r="H148" s="3" t="s">
        <v>85</v>
      </c>
      <c r="I148" s="3"/>
      <c r="J148" s="3"/>
      <c r="K148" s="3" t="s">
        <v>85</v>
      </c>
      <c r="L148" s="3"/>
      <c r="M148" s="3" t="s">
        <v>300</v>
      </c>
      <c r="N148" s="3" t="s">
        <v>301</v>
      </c>
    </row>
    <row r="149" spans="1:14" ht="55.05" customHeight="1" x14ac:dyDescent="0.3">
      <c r="A149" s="3" t="s">
        <v>453</v>
      </c>
      <c r="B149" s="3" t="s">
        <v>212</v>
      </c>
      <c r="C149" s="3" t="s">
        <v>213</v>
      </c>
      <c r="D149" s="3" t="s">
        <v>214</v>
      </c>
      <c r="E149" s="3" t="s">
        <v>307</v>
      </c>
      <c r="F149" s="3" t="s">
        <v>298</v>
      </c>
      <c r="G149" s="3" t="s">
        <v>299</v>
      </c>
      <c r="H149" s="3" t="s">
        <v>85</v>
      </c>
      <c r="I149" s="3"/>
      <c r="J149" s="3"/>
      <c r="K149" s="3" t="s">
        <v>85</v>
      </c>
      <c r="L149" s="3"/>
      <c r="M149" s="3" t="s">
        <v>300</v>
      </c>
      <c r="N149" s="3" t="s">
        <v>301</v>
      </c>
    </row>
    <row r="150" spans="1:14" ht="55.05" customHeight="1" x14ac:dyDescent="0.3">
      <c r="A150" s="3" t="s">
        <v>454</v>
      </c>
      <c r="B150" s="3" t="s">
        <v>212</v>
      </c>
      <c r="C150" s="3" t="s">
        <v>213</v>
      </c>
      <c r="D150" s="3" t="s">
        <v>214</v>
      </c>
      <c r="E150" s="3" t="s">
        <v>309</v>
      </c>
      <c r="F150" s="3" t="s">
        <v>298</v>
      </c>
      <c r="G150" s="3" t="s">
        <v>299</v>
      </c>
      <c r="H150" s="3" t="s">
        <v>85</v>
      </c>
      <c r="I150" s="3"/>
      <c r="J150" s="3"/>
      <c r="K150" s="3" t="s">
        <v>85</v>
      </c>
      <c r="L150" s="3"/>
      <c r="M150" s="3" t="s">
        <v>300</v>
      </c>
      <c r="N150" s="3" t="s">
        <v>301</v>
      </c>
    </row>
    <row r="151" spans="1:14" ht="55.05" customHeight="1" x14ac:dyDescent="0.3">
      <c r="A151" s="3" t="s">
        <v>455</v>
      </c>
      <c r="B151" s="3" t="s">
        <v>212</v>
      </c>
      <c r="C151" s="3" t="s">
        <v>213</v>
      </c>
      <c r="D151" s="3" t="s">
        <v>214</v>
      </c>
      <c r="E151" s="3" t="s">
        <v>311</v>
      </c>
      <c r="F151" s="3" t="s">
        <v>298</v>
      </c>
      <c r="G151" s="3" t="s">
        <v>299</v>
      </c>
      <c r="H151" s="3" t="s">
        <v>85</v>
      </c>
      <c r="I151" s="3"/>
      <c r="J151" s="3"/>
      <c r="K151" s="3" t="s">
        <v>85</v>
      </c>
      <c r="L151" s="3"/>
      <c r="M151" s="3" t="s">
        <v>300</v>
      </c>
      <c r="N151" s="3" t="s">
        <v>301</v>
      </c>
    </row>
    <row r="152" spans="1:14" ht="55.05" customHeight="1" x14ac:dyDescent="0.3">
      <c r="A152" s="3" t="s">
        <v>456</v>
      </c>
      <c r="B152" s="3" t="s">
        <v>217</v>
      </c>
      <c r="C152" s="3" t="s">
        <v>218</v>
      </c>
      <c r="D152" s="3" t="s">
        <v>219</v>
      </c>
      <c r="E152" s="3" t="s">
        <v>297</v>
      </c>
      <c r="F152" s="3" t="s">
        <v>298</v>
      </c>
      <c r="G152" s="3" t="s">
        <v>299</v>
      </c>
      <c r="H152" s="3" t="s">
        <v>85</v>
      </c>
      <c r="I152" s="3"/>
      <c r="J152" s="3"/>
      <c r="K152" s="3" t="s">
        <v>85</v>
      </c>
      <c r="L152" s="3"/>
      <c r="M152" s="3" t="s">
        <v>300</v>
      </c>
      <c r="N152" s="3" t="s">
        <v>301</v>
      </c>
    </row>
    <row r="153" spans="1:14" ht="55.05" customHeight="1" x14ac:dyDescent="0.3">
      <c r="A153" s="3" t="s">
        <v>457</v>
      </c>
      <c r="B153" s="3" t="s">
        <v>217</v>
      </c>
      <c r="C153" s="3" t="s">
        <v>218</v>
      </c>
      <c r="D153" s="3" t="s">
        <v>219</v>
      </c>
      <c r="E153" s="3" t="s">
        <v>303</v>
      </c>
      <c r="F153" s="3" t="s">
        <v>298</v>
      </c>
      <c r="G153" s="3" t="s">
        <v>299</v>
      </c>
      <c r="H153" s="3" t="s">
        <v>85</v>
      </c>
      <c r="I153" s="3"/>
      <c r="J153" s="3"/>
      <c r="K153" s="3" t="s">
        <v>85</v>
      </c>
      <c r="L153" s="3"/>
      <c r="M153" s="3" t="s">
        <v>300</v>
      </c>
      <c r="N153" s="3" t="s">
        <v>301</v>
      </c>
    </row>
    <row r="154" spans="1:14" ht="55.05" customHeight="1" x14ac:dyDescent="0.3">
      <c r="A154" s="3" t="s">
        <v>458</v>
      </c>
      <c r="B154" s="3" t="s">
        <v>217</v>
      </c>
      <c r="C154" s="3" t="s">
        <v>218</v>
      </c>
      <c r="D154" s="3" t="s">
        <v>219</v>
      </c>
      <c r="E154" s="3" t="s">
        <v>305</v>
      </c>
      <c r="F154" s="3" t="s">
        <v>298</v>
      </c>
      <c r="G154" s="3" t="s">
        <v>299</v>
      </c>
      <c r="H154" s="3" t="s">
        <v>85</v>
      </c>
      <c r="I154" s="3"/>
      <c r="J154" s="3"/>
      <c r="K154" s="3" t="s">
        <v>85</v>
      </c>
      <c r="L154" s="3"/>
      <c r="M154" s="3" t="s">
        <v>300</v>
      </c>
      <c r="N154" s="3" t="s">
        <v>301</v>
      </c>
    </row>
    <row r="155" spans="1:14" ht="55.05" customHeight="1" x14ac:dyDescent="0.3">
      <c r="A155" s="3" t="s">
        <v>459</v>
      </c>
      <c r="B155" s="3" t="s">
        <v>217</v>
      </c>
      <c r="C155" s="3" t="s">
        <v>218</v>
      </c>
      <c r="D155" s="3" t="s">
        <v>219</v>
      </c>
      <c r="E155" s="3" t="s">
        <v>307</v>
      </c>
      <c r="F155" s="3" t="s">
        <v>298</v>
      </c>
      <c r="G155" s="3" t="s">
        <v>299</v>
      </c>
      <c r="H155" s="3" t="s">
        <v>85</v>
      </c>
      <c r="I155" s="3"/>
      <c r="J155" s="3"/>
      <c r="K155" s="3" t="s">
        <v>85</v>
      </c>
      <c r="L155" s="3"/>
      <c r="M155" s="3" t="s">
        <v>300</v>
      </c>
      <c r="N155" s="3" t="s">
        <v>301</v>
      </c>
    </row>
    <row r="156" spans="1:14" ht="55.05" customHeight="1" x14ac:dyDescent="0.3">
      <c r="A156" s="3" t="s">
        <v>460</v>
      </c>
      <c r="B156" s="3" t="s">
        <v>217</v>
      </c>
      <c r="C156" s="3" t="s">
        <v>218</v>
      </c>
      <c r="D156" s="3" t="s">
        <v>219</v>
      </c>
      <c r="E156" s="3" t="s">
        <v>309</v>
      </c>
      <c r="F156" s="3" t="s">
        <v>298</v>
      </c>
      <c r="G156" s="3" t="s">
        <v>299</v>
      </c>
      <c r="H156" s="3" t="s">
        <v>85</v>
      </c>
      <c r="I156" s="3"/>
      <c r="J156" s="3"/>
      <c r="K156" s="3" t="s">
        <v>85</v>
      </c>
      <c r="L156" s="3"/>
      <c r="M156" s="3" t="s">
        <v>300</v>
      </c>
      <c r="N156" s="3" t="s">
        <v>301</v>
      </c>
    </row>
    <row r="157" spans="1:14" ht="55.05" customHeight="1" x14ac:dyDescent="0.3">
      <c r="A157" s="3" t="s">
        <v>461</v>
      </c>
      <c r="B157" s="3" t="s">
        <v>217</v>
      </c>
      <c r="C157" s="3" t="s">
        <v>218</v>
      </c>
      <c r="D157" s="3" t="s">
        <v>219</v>
      </c>
      <c r="E157" s="3" t="s">
        <v>311</v>
      </c>
      <c r="F157" s="3" t="s">
        <v>298</v>
      </c>
      <c r="G157" s="3" t="s">
        <v>299</v>
      </c>
      <c r="H157" s="3" t="s">
        <v>85</v>
      </c>
      <c r="I157" s="3"/>
      <c r="J157" s="3"/>
      <c r="K157" s="3" t="s">
        <v>85</v>
      </c>
      <c r="L157" s="3"/>
      <c r="M157" s="3" t="s">
        <v>300</v>
      </c>
      <c r="N157" s="3" t="s">
        <v>301</v>
      </c>
    </row>
    <row r="158" spans="1:14" ht="55.05" customHeight="1" x14ac:dyDescent="0.3">
      <c r="A158" s="3" t="s">
        <v>462</v>
      </c>
      <c r="B158" s="3" t="s">
        <v>222</v>
      </c>
      <c r="C158" s="3" t="s">
        <v>223</v>
      </c>
      <c r="D158" s="3" t="s">
        <v>224</v>
      </c>
      <c r="E158" s="3" t="s">
        <v>297</v>
      </c>
      <c r="F158" s="3" t="s">
        <v>298</v>
      </c>
      <c r="G158" s="3" t="s">
        <v>299</v>
      </c>
      <c r="H158" s="3" t="s">
        <v>85</v>
      </c>
      <c r="I158" s="3"/>
      <c r="J158" s="3"/>
      <c r="K158" s="3" t="s">
        <v>85</v>
      </c>
      <c r="L158" s="3"/>
      <c r="M158" s="3" t="s">
        <v>300</v>
      </c>
      <c r="N158" s="3" t="s">
        <v>301</v>
      </c>
    </row>
    <row r="159" spans="1:14" ht="55.05" customHeight="1" x14ac:dyDescent="0.3">
      <c r="A159" s="3" t="s">
        <v>463</v>
      </c>
      <c r="B159" s="3" t="s">
        <v>222</v>
      </c>
      <c r="C159" s="3" t="s">
        <v>223</v>
      </c>
      <c r="D159" s="3" t="s">
        <v>224</v>
      </c>
      <c r="E159" s="3" t="s">
        <v>303</v>
      </c>
      <c r="F159" s="3" t="s">
        <v>298</v>
      </c>
      <c r="G159" s="3" t="s">
        <v>299</v>
      </c>
      <c r="H159" s="3" t="s">
        <v>85</v>
      </c>
      <c r="I159" s="3"/>
      <c r="J159" s="3"/>
      <c r="K159" s="3" t="s">
        <v>85</v>
      </c>
      <c r="L159" s="3"/>
      <c r="M159" s="3" t="s">
        <v>300</v>
      </c>
      <c r="N159" s="3" t="s">
        <v>301</v>
      </c>
    </row>
    <row r="160" spans="1:14" ht="55.05" customHeight="1" x14ac:dyDescent="0.3">
      <c r="A160" s="3" t="s">
        <v>464</v>
      </c>
      <c r="B160" s="3" t="s">
        <v>222</v>
      </c>
      <c r="C160" s="3" t="s">
        <v>223</v>
      </c>
      <c r="D160" s="3" t="s">
        <v>224</v>
      </c>
      <c r="E160" s="3" t="s">
        <v>305</v>
      </c>
      <c r="F160" s="3" t="s">
        <v>298</v>
      </c>
      <c r="G160" s="3" t="s">
        <v>299</v>
      </c>
      <c r="H160" s="3" t="s">
        <v>85</v>
      </c>
      <c r="I160" s="3"/>
      <c r="J160" s="3"/>
      <c r="K160" s="3" t="s">
        <v>85</v>
      </c>
      <c r="L160" s="3"/>
      <c r="M160" s="3" t="s">
        <v>300</v>
      </c>
      <c r="N160" s="3" t="s">
        <v>301</v>
      </c>
    </row>
    <row r="161" spans="1:14" ht="55.05" customHeight="1" x14ac:dyDescent="0.3">
      <c r="A161" s="3" t="s">
        <v>465</v>
      </c>
      <c r="B161" s="3" t="s">
        <v>222</v>
      </c>
      <c r="C161" s="3" t="s">
        <v>223</v>
      </c>
      <c r="D161" s="3" t="s">
        <v>224</v>
      </c>
      <c r="E161" s="3" t="s">
        <v>307</v>
      </c>
      <c r="F161" s="3" t="s">
        <v>298</v>
      </c>
      <c r="G161" s="3" t="s">
        <v>299</v>
      </c>
      <c r="H161" s="3" t="s">
        <v>85</v>
      </c>
      <c r="I161" s="3"/>
      <c r="J161" s="3"/>
      <c r="K161" s="3" t="s">
        <v>85</v>
      </c>
      <c r="L161" s="3"/>
      <c r="M161" s="3" t="s">
        <v>300</v>
      </c>
      <c r="N161" s="3" t="s">
        <v>301</v>
      </c>
    </row>
    <row r="162" spans="1:14" ht="55.05" customHeight="1" x14ac:dyDescent="0.3">
      <c r="A162" s="3" t="s">
        <v>466</v>
      </c>
      <c r="B162" s="3" t="s">
        <v>222</v>
      </c>
      <c r="C162" s="3" t="s">
        <v>223</v>
      </c>
      <c r="D162" s="3" t="s">
        <v>224</v>
      </c>
      <c r="E162" s="3" t="s">
        <v>309</v>
      </c>
      <c r="F162" s="3" t="s">
        <v>298</v>
      </c>
      <c r="G162" s="3" t="s">
        <v>299</v>
      </c>
      <c r="H162" s="3" t="s">
        <v>85</v>
      </c>
      <c r="I162" s="3"/>
      <c r="J162" s="3"/>
      <c r="K162" s="3" t="s">
        <v>85</v>
      </c>
      <c r="L162" s="3"/>
      <c r="M162" s="3" t="s">
        <v>300</v>
      </c>
      <c r="N162" s="3" t="s">
        <v>301</v>
      </c>
    </row>
    <row r="163" spans="1:14" ht="55.05" customHeight="1" x14ac:dyDescent="0.3">
      <c r="A163" s="3" t="s">
        <v>467</v>
      </c>
      <c r="B163" s="3" t="s">
        <v>222</v>
      </c>
      <c r="C163" s="3" t="s">
        <v>223</v>
      </c>
      <c r="D163" s="3" t="s">
        <v>224</v>
      </c>
      <c r="E163" s="3" t="s">
        <v>311</v>
      </c>
      <c r="F163" s="3" t="s">
        <v>298</v>
      </c>
      <c r="G163" s="3" t="s">
        <v>299</v>
      </c>
      <c r="H163" s="3" t="s">
        <v>85</v>
      </c>
      <c r="I163" s="3"/>
      <c r="J163" s="3"/>
      <c r="K163" s="3" t="s">
        <v>85</v>
      </c>
      <c r="L163" s="3"/>
      <c r="M163" s="3" t="s">
        <v>300</v>
      </c>
      <c r="N163" s="3" t="s">
        <v>301</v>
      </c>
    </row>
    <row r="164" spans="1:14" ht="55.05" customHeight="1" x14ac:dyDescent="0.3">
      <c r="A164" s="3" t="s">
        <v>468</v>
      </c>
      <c r="B164" s="3" t="s">
        <v>227</v>
      </c>
      <c r="C164" s="3" t="s">
        <v>228</v>
      </c>
      <c r="D164" s="3" t="s">
        <v>229</v>
      </c>
      <c r="E164" s="3" t="s">
        <v>297</v>
      </c>
      <c r="F164" s="3" t="s">
        <v>298</v>
      </c>
      <c r="G164" s="3" t="s">
        <v>299</v>
      </c>
      <c r="H164" s="3" t="s">
        <v>85</v>
      </c>
      <c r="I164" s="3"/>
      <c r="J164" s="3"/>
      <c r="K164" s="3" t="s">
        <v>85</v>
      </c>
      <c r="L164" s="3"/>
      <c r="M164" s="3" t="s">
        <v>300</v>
      </c>
      <c r="N164" s="3" t="s">
        <v>301</v>
      </c>
    </row>
    <row r="165" spans="1:14" ht="55.05" customHeight="1" x14ac:dyDescent="0.3">
      <c r="A165" s="3" t="s">
        <v>469</v>
      </c>
      <c r="B165" s="3" t="s">
        <v>227</v>
      </c>
      <c r="C165" s="3" t="s">
        <v>228</v>
      </c>
      <c r="D165" s="3" t="s">
        <v>229</v>
      </c>
      <c r="E165" s="3" t="s">
        <v>303</v>
      </c>
      <c r="F165" s="3" t="s">
        <v>298</v>
      </c>
      <c r="G165" s="3" t="s">
        <v>299</v>
      </c>
      <c r="H165" s="3" t="s">
        <v>85</v>
      </c>
      <c r="I165" s="3"/>
      <c r="J165" s="3"/>
      <c r="K165" s="3" t="s">
        <v>85</v>
      </c>
      <c r="L165" s="3"/>
      <c r="M165" s="3" t="s">
        <v>300</v>
      </c>
      <c r="N165" s="3" t="s">
        <v>301</v>
      </c>
    </row>
    <row r="166" spans="1:14" ht="55.05" customHeight="1" x14ac:dyDescent="0.3">
      <c r="A166" s="3" t="s">
        <v>470</v>
      </c>
      <c r="B166" s="3" t="s">
        <v>227</v>
      </c>
      <c r="C166" s="3" t="s">
        <v>228</v>
      </c>
      <c r="D166" s="3" t="s">
        <v>229</v>
      </c>
      <c r="E166" s="3" t="s">
        <v>305</v>
      </c>
      <c r="F166" s="3" t="s">
        <v>298</v>
      </c>
      <c r="G166" s="3" t="s">
        <v>299</v>
      </c>
      <c r="H166" s="3" t="s">
        <v>85</v>
      </c>
      <c r="I166" s="3"/>
      <c r="J166" s="3"/>
      <c r="K166" s="3" t="s">
        <v>85</v>
      </c>
      <c r="L166" s="3"/>
      <c r="M166" s="3" t="s">
        <v>300</v>
      </c>
      <c r="N166" s="3" t="s">
        <v>301</v>
      </c>
    </row>
    <row r="167" spans="1:14" ht="55.05" customHeight="1" x14ac:dyDescent="0.3">
      <c r="A167" s="3" t="s">
        <v>471</v>
      </c>
      <c r="B167" s="3" t="s">
        <v>227</v>
      </c>
      <c r="C167" s="3" t="s">
        <v>228</v>
      </c>
      <c r="D167" s="3" t="s">
        <v>229</v>
      </c>
      <c r="E167" s="3" t="s">
        <v>307</v>
      </c>
      <c r="F167" s="3" t="s">
        <v>298</v>
      </c>
      <c r="G167" s="3" t="s">
        <v>299</v>
      </c>
      <c r="H167" s="3" t="s">
        <v>85</v>
      </c>
      <c r="I167" s="3"/>
      <c r="J167" s="3"/>
      <c r="K167" s="3" t="s">
        <v>85</v>
      </c>
      <c r="L167" s="3"/>
      <c r="M167" s="3" t="s">
        <v>300</v>
      </c>
      <c r="N167" s="3" t="s">
        <v>301</v>
      </c>
    </row>
    <row r="168" spans="1:14" ht="55.05" customHeight="1" x14ac:dyDescent="0.3">
      <c r="A168" s="3" t="s">
        <v>472</v>
      </c>
      <c r="B168" s="3" t="s">
        <v>227</v>
      </c>
      <c r="C168" s="3" t="s">
        <v>228</v>
      </c>
      <c r="D168" s="3" t="s">
        <v>229</v>
      </c>
      <c r="E168" s="3" t="s">
        <v>309</v>
      </c>
      <c r="F168" s="3" t="s">
        <v>298</v>
      </c>
      <c r="G168" s="3" t="s">
        <v>299</v>
      </c>
      <c r="H168" s="3" t="s">
        <v>85</v>
      </c>
      <c r="I168" s="3"/>
      <c r="J168" s="3"/>
      <c r="K168" s="3" t="s">
        <v>85</v>
      </c>
      <c r="L168" s="3"/>
      <c r="M168" s="3" t="s">
        <v>300</v>
      </c>
      <c r="N168" s="3" t="s">
        <v>301</v>
      </c>
    </row>
    <row r="169" spans="1:14" ht="55.05" customHeight="1" x14ac:dyDescent="0.3">
      <c r="A169" s="3" t="s">
        <v>473</v>
      </c>
      <c r="B169" s="3" t="s">
        <v>227</v>
      </c>
      <c r="C169" s="3" t="s">
        <v>228</v>
      </c>
      <c r="D169" s="3" t="s">
        <v>229</v>
      </c>
      <c r="E169" s="3" t="s">
        <v>311</v>
      </c>
      <c r="F169" s="3" t="s">
        <v>298</v>
      </c>
      <c r="G169" s="3" t="s">
        <v>299</v>
      </c>
      <c r="H169" s="3" t="s">
        <v>85</v>
      </c>
      <c r="I169" s="3"/>
      <c r="J169" s="3"/>
      <c r="K169" s="3" t="s">
        <v>85</v>
      </c>
      <c r="L169" s="3"/>
      <c r="M169" s="3" t="s">
        <v>300</v>
      </c>
      <c r="N169" s="3" t="s">
        <v>301</v>
      </c>
    </row>
    <row r="170" spans="1:14" ht="55.05" customHeight="1" x14ac:dyDescent="0.3">
      <c r="A170" s="3" t="s">
        <v>474</v>
      </c>
      <c r="B170" s="3" t="s">
        <v>232</v>
      </c>
      <c r="C170" s="3" t="s">
        <v>233</v>
      </c>
      <c r="D170" s="3" t="s">
        <v>234</v>
      </c>
      <c r="E170" s="3" t="s">
        <v>297</v>
      </c>
      <c r="F170" s="3" t="s">
        <v>298</v>
      </c>
      <c r="G170" s="3" t="s">
        <v>299</v>
      </c>
      <c r="H170" s="3" t="s">
        <v>85</v>
      </c>
      <c r="I170" s="3"/>
      <c r="J170" s="3"/>
      <c r="K170" s="3" t="s">
        <v>85</v>
      </c>
      <c r="L170" s="3"/>
      <c r="M170" s="3" t="s">
        <v>300</v>
      </c>
      <c r="N170" s="3" t="s">
        <v>301</v>
      </c>
    </row>
    <row r="171" spans="1:14" ht="55.05" customHeight="1" x14ac:dyDescent="0.3">
      <c r="A171" s="3" t="s">
        <v>475</v>
      </c>
      <c r="B171" s="3" t="s">
        <v>232</v>
      </c>
      <c r="C171" s="3" t="s">
        <v>233</v>
      </c>
      <c r="D171" s="3" t="s">
        <v>234</v>
      </c>
      <c r="E171" s="3" t="s">
        <v>303</v>
      </c>
      <c r="F171" s="3" t="s">
        <v>298</v>
      </c>
      <c r="G171" s="3" t="s">
        <v>299</v>
      </c>
      <c r="H171" s="3" t="s">
        <v>85</v>
      </c>
      <c r="I171" s="3"/>
      <c r="J171" s="3"/>
      <c r="K171" s="3" t="s">
        <v>85</v>
      </c>
      <c r="L171" s="3"/>
      <c r="M171" s="3" t="s">
        <v>300</v>
      </c>
      <c r="N171" s="3" t="s">
        <v>301</v>
      </c>
    </row>
    <row r="172" spans="1:14" ht="55.05" customHeight="1" x14ac:dyDescent="0.3">
      <c r="A172" s="3" t="s">
        <v>476</v>
      </c>
      <c r="B172" s="3" t="s">
        <v>232</v>
      </c>
      <c r="C172" s="3" t="s">
        <v>233</v>
      </c>
      <c r="D172" s="3" t="s">
        <v>234</v>
      </c>
      <c r="E172" s="3" t="s">
        <v>305</v>
      </c>
      <c r="F172" s="3" t="s">
        <v>298</v>
      </c>
      <c r="G172" s="3" t="s">
        <v>299</v>
      </c>
      <c r="H172" s="3" t="s">
        <v>85</v>
      </c>
      <c r="I172" s="3"/>
      <c r="J172" s="3"/>
      <c r="K172" s="3" t="s">
        <v>85</v>
      </c>
      <c r="L172" s="3"/>
      <c r="M172" s="3" t="s">
        <v>300</v>
      </c>
      <c r="N172" s="3" t="s">
        <v>301</v>
      </c>
    </row>
    <row r="173" spans="1:14" ht="55.05" customHeight="1" x14ac:dyDescent="0.3">
      <c r="A173" s="3" t="s">
        <v>477</v>
      </c>
      <c r="B173" s="3" t="s">
        <v>232</v>
      </c>
      <c r="C173" s="3" t="s">
        <v>233</v>
      </c>
      <c r="D173" s="3" t="s">
        <v>234</v>
      </c>
      <c r="E173" s="3" t="s">
        <v>307</v>
      </c>
      <c r="F173" s="3" t="s">
        <v>298</v>
      </c>
      <c r="G173" s="3" t="s">
        <v>299</v>
      </c>
      <c r="H173" s="3" t="s">
        <v>85</v>
      </c>
      <c r="I173" s="3"/>
      <c r="J173" s="3"/>
      <c r="K173" s="3" t="s">
        <v>85</v>
      </c>
      <c r="L173" s="3"/>
      <c r="M173" s="3" t="s">
        <v>300</v>
      </c>
      <c r="N173" s="3" t="s">
        <v>301</v>
      </c>
    </row>
    <row r="174" spans="1:14" ht="55.05" customHeight="1" x14ac:dyDescent="0.3">
      <c r="A174" s="3" t="s">
        <v>478</v>
      </c>
      <c r="B174" s="3" t="s">
        <v>232</v>
      </c>
      <c r="C174" s="3" t="s">
        <v>233</v>
      </c>
      <c r="D174" s="3" t="s">
        <v>234</v>
      </c>
      <c r="E174" s="3" t="s">
        <v>309</v>
      </c>
      <c r="F174" s="3" t="s">
        <v>298</v>
      </c>
      <c r="G174" s="3" t="s">
        <v>299</v>
      </c>
      <c r="H174" s="3" t="s">
        <v>85</v>
      </c>
      <c r="I174" s="3"/>
      <c r="J174" s="3"/>
      <c r="K174" s="3" t="s">
        <v>85</v>
      </c>
      <c r="L174" s="3"/>
      <c r="M174" s="3" t="s">
        <v>300</v>
      </c>
      <c r="N174" s="3" t="s">
        <v>301</v>
      </c>
    </row>
    <row r="175" spans="1:14" ht="55.05" customHeight="1" x14ac:dyDescent="0.3">
      <c r="A175" s="3" t="s">
        <v>479</v>
      </c>
      <c r="B175" s="3" t="s">
        <v>232</v>
      </c>
      <c r="C175" s="3" t="s">
        <v>233</v>
      </c>
      <c r="D175" s="3" t="s">
        <v>234</v>
      </c>
      <c r="E175" s="3" t="s">
        <v>311</v>
      </c>
      <c r="F175" s="3" t="s">
        <v>298</v>
      </c>
      <c r="G175" s="3" t="s">
        <v>299</v>
      </c>
      <c r="H175" s="3" t="s">
        <v>85</v>
      </c>
      <c r="I175" s="3"/>
      <c r="J175" s="3"/>
      <c r="K175" s="3" t="s">
        <v>85</v>
      </c>
      <c r="L175" s="3"/>
      <c r="M175" s="3" t="s">
        <v>300</v>
      </c>
      <c r="N175" s="3" t="s">
        <v>301</v>
      </c>
    </row>
    <row r="176" spans="1:14" ht="55.05" customHeight="1" x14ac:dyDescent="0.3">
      <c r="A176" s="3" t="s">
        <v>480</v>
      </c>
      <c r="B176" s="3" t="s">
        <v>237</v>
      </c>
      <c r="C176" s="3" t="s">
        <v>238</v>
      </c>
      <c r="D176" s="3" t="s">
        <v>239</v>
      </c>
      <c r="E176" s="3" t="s">
        <v>297</v>
      </c>
      <c r="F176" s="3" t="s">
        <v>298</v>
      </c>
      <c r="G176" s="3" t="s">
        <v>299</v>
      </c>
      <c r="H176" s="3" t="s">
        <v>85</v>
      </c>
      <c r="I176" s="3"/>
      <c r="J176" s="3"/>
      <c r="K176" s="3" t="s">
        <v>85</v>
      </c>
      <c r="L176" s="3"/>
      <c r="M176" s="3" t="s">
        <v>300</v>
      </c>
      <c r="N176" s="3" t="s">
        <v>301</v>
      </c>
    </row>
    <row r="177" spans="1:14" ht="55.05" customHeight="1" x14ac:dyDescent="0.3">
      <c r="A177" s="3" t="s">
        <v>481</v>
      </c>
      <c r="B177" s="3" t="s">
        <v>237</v>
      </c>
      <c r="C177" s="3" t="s">
        <v>238</v>
      </c>
      <c r="D177" s="3" t="s">
        <v>239</v>
      </c>
      <c r="E177" s="3" t="s">
        <v>303</v>
      </c>
      <c r="F177" s="3" t="s">
        <v>298</v>
      </c>
      <c r="G177" s="3" t="s">
        <v>299</v>
      </c>
      <c r="H177" s="3" t="s">
        <v>85</v>
      </c>
      <c r="I177" s="3"/>
      <c r="J177" s="3"/>
      <c r="K177" s="3" t="s">
        <v>85</v>
      </c>
      <c r="L177" s="3"/>
      <c r="M177" s="3" t="s">
        <v>300</v>
      </c>
      <c r="N177" s="3" t="s">
        <v>301</v>
      </c>
    </row>
    <row r="178" spans="1:14" ht="55.05" customHeight="1" x14ac:dyDescent="0.3">
      <c r="A178" s="3" t="s">
        <v>482</v>
      </c>
      <c r="B178" s="3" t="s">
        <v>237</v>
      </c>
      <c r="C178" s="3" t="s">
        <v>238</v>
      </c>
      <c r="D178" s="3" t="s">
        <v>239</v>
      </c>
      <c r="E178" s="3" t="s">
        <v>305</v>
      </c>
      <c r="F178" s="3" t="s">
        <v>298</v>
      </c>
      <c r="G178" s="3" t="s">
        <v>299</v>
      </c>
      <c r="H178" s="3" t="s">
        <v>85</v>
      </c>
      <c r="I178" s="3"/>
      <c r="J178" s="3"/>
      <c r="K178" s="3" t="s">
        <v>85</v>
      </c>
      <c r="L178" s="3"/>
      <c r="M178" s="3" t="s">
        <v>300</v>
      </c>
      <c r="N178" s="3" t="s">
        <v>301</v>
      </c>
    </row>
    <row r="179" spans="1:14" ht="55.05" customHeight="1" x14ac:dyDescent="0.3">
      <c r="A179" s="3" t="s">
        <v>483</v>
      </c>
      <c r="B179" s="3" t="s">
        <v>237</v>
      </c>
      <c r="C179" s="3" t="s">
        <v>238</v>
      </c>
      <c r="D179" s="3" t="s">
        <v>239</v>
      </c>
      <c r="E179" s="3" t="s">
        <v>307</v>
      </c>
      <c r="F179" s="3" t="s">
        <v>298</v>
      </c>
      <c r="G179" s="3" t="s">
        <v>299</v>
      </c>
      <c r="H179" s="3" t="s">
        <v>85</v>
      </c>
      <c r="I179" s="3"/>
      <c r="J179" s="3"/>
      <c r="K179" s="3" t="s">
        <v>85</v>
      </c>
      <c r="L179" s="3"/>
      <c r="M179" s="3" t="s">
        <v>300</v>
      </c>
      <c r="N179" s="3" t="s">
        <v>301</v>
      </c>
    </row>
    <row r="180" spans="1:14" ht="55.05" customHeight="1" x14ac:dyDescent="0.3">
      <c r="A180" s="3" t="s">
        <v>484</v>
      </c>
      <c r="B180" s="3" t="s">
        <v>237</v>
      </c>
      <c r="C180" s="3" t="s">
        <v>238</v>
      </c>
      <c r="D180" s="3" t="s">
        <v>239</v>
      </c>
      <c r="E180" s="3" t="s">
        <v>309</v>
      </c>
      <c r="F180" s="3" t="s">
        <v>298</v>
      </c>
      <c r="G180" s="3" t="s">
        <v>299</v>
      </c>
      <c r="H180" s="3" t="s">
        <v>85</v>
      </c>
      <c r="I180" s="3"/>
      <c r="J180" s="3"/>
      <c r="K180" s="3" t="s">
        <v>85</v>
      </c>
      <c r="L180" s="3"/>
      <c r="M180" s="3" t="s">
        <v>300</v>
      </c>
      <c r="N180" s="3" t="s">
        <v>301</v>
      </c>
    </row>
    <row r="181" spans="1:14" ht="55.05" customHeight="1" x14ac:dyDescent="0.3">
      <c r="A181" s="3" t="s">
        <v>485</v>
      </c>
      <c r="B181" s="3" t="s">
        <v>237</v>
      </c>
      <c r="C181" s="3" t="s">
        <v>238</v>
      </c>
      <c r="D181" s="3" t="s">
        <v>239</v>
      </c>
      <c r="E181" s="3" t="s">
        <v>311</v>
      </c>
      <c r="F181" s="3" t="s">
        <v>298</v>
      </c>
      <c r="G181" s="3" t="s">
        <v>299</v>
      </c>
      <c r="H181" s="3" t="s">
        <v>85</v>
      </c>
      <c r="I181" s="3"/>
      <c r="J181" s="3"/>
      <c r="K181" s="3" t="s">
        <v>85</v>
      </c>
      <c r="L181" s="3"/>
      <c r="M181" s="3" t="s">
        <v>300</v>
      </c>
      <c r="N181" s="3" t="s">
        <v>301</v>
      </c>
    </row>
  </sheetData>
  <dataValidations count="2">
    <dataValidation type="list" allowBlank="1" sqref="H2:H181" xr:uid="{00000000-0002-0000-0400-000000000000}">
      <formula1>"Required,Not Required,Pending"</formula1>
    </dataValidation>
    <dataValidation type="list" allowBlank="1" sqref="K2:K181" xr:uid="{00000000-0002-0000-0400-000001000000}">
      <formula1>"Pending,Approved,Sent,Acknowledged,Closed,Not Required"</formula1>
    </dataValidation>
  </dataValidation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O31"/>
  <sheetViews>
    <sheetView showGridLines="0" workbookViewId="0">
      <pane ySplit="1" topLeftCell="A2" activePane="bottomLeft" state="frozen"/>
      <selection pane="bottomLeft" activeCell="F6" activeCellId="1" sqref="A1 A2:O31"/>
    </sheetView>
  </sheetViews>
  <sheetFormatPr defaultRowHeight="14.4" x14ac:dyDescent="0.3"/>
  <cols>
    <col min="1" max="1" width="18" customWidth="1"/>
    <col min="2" max="2" width="16" customWidth="1"/>
    <col min="3" max="3" width="13" customWidth="1"/>
    <col min="4" max="4" width="30" customWidth="1"/>
    <col min="5" max="5" width="15" customWidth="1"/>
    <col min="6" max="6" width="65" customWidth="1"/>
    <col min="7" max="7" width="25" customWidth="1"/>
    <col min="8" max="8" width="16" customWidth="1"/>
    <col min="9" max="9" width="18" customWidth="1"/>
    <col min="10" max="10" width="22" customWidth="1"/>
    <col min="11" max="11" width="50" customWidth="1"/>
    <col min="12" max="12" width="22" customWidth="1"/>
    <col min="13" max="13" width="16" customWidth="1"/>
    <col min="14" max="14" width="24" customWidth="1"/>
    <col min="15" max="15" width="45" customWidth="1"/>
  </cols>
  <sheetData>
    <row r="1" spans="1:15" ht="46.05" customHeight="1" x14ac:dyDescent="0.3">
      <c r="A1" s="6" t="s">
        <v>486</v>
      </c>
      <c r="B1" s="5" t="s">
        <v>36</v>
      </c>
      <c r="C1" s="5" t="s">
        <v>37</v>
      </c>
      <c r="D1" s="5" t="s">
        <v>38</v>
      </c>
      <c r="E1" s="5" t="s">
        <v>47</v>
      </c>
      <c r="F1" s="5" t="s">
        <v>65</v>
      </c>
      <c r="G1" s="5" t="s">
        <v>487</v>
      </c>
      <c r="H1" s="5" t="s">
        <v>488</v>
      </c>
      <c r="I1" s="5" t="s">
        <v>8</v>
      </c>
      <c r="J1" s="5" t="s">
        <v>489</v>
      </c>
      <c r="K1" s="5" t="s">
        <v>490</v>
      </c>
      <c r="L1" s="5" t="s">
        <v>67</v>
      </c>
      <c r="M1" s="5" t="s">
        <v>68</v>
      </c>
      <c r="N1" s="5" t="s">
        <v>491</v>
      </c>
      <c r="O1" s="5" t="s">
        <v>72</v>
      </c>
    </row>
    <row r="2" spans="1:15" ht="64.95" customHeight="1" x14ac:dyDescent="0.3">
      <c r="A2" s="3" t="s">
        <v>492</v>
      </c>
      <c r="B2" s="3" t="s">
        <v>73</v>
      </c>
      <c r="C2" s="3" t="s">
        <v>74</v>
      </c>
      <c r="D2" s="3" t="s">
        <v>75</v>
      </c>
      <c r="E2" s="3" t="s">
        <v>81</v>
      </c>
      <c r="F2" s="3" t="s">
        <v>493</v>
      </c>
      <c r="G2" s="3" t="s">
        <v>86</v>
      </c>
      <c r="H2" s="3"/>
      <c r="I2" s="3" t="s">
        <v>82</v>
      </c>
      <c r="J2" s="3" t="s">
        <v>85</v>
      </c>
      <c r="K2" s="3" t="s">
        <v>494</v>
      </c>
      <c r="L2" s="3" t="s">
        <v>85</v>
      </c>
      <c r="M2" s="3"/>
      <c r="N2" s="3"/>
      <c r="O2" s="3" t="s">
        <v>495</v>
      </c>
    </row>
    <row r="3" spans="1:15" ht="64.95" customHeight="1" x14ac:dyDescent="0.3">
      <c r="A3" s="3" t="s">
        <v>496</v>
      </c>
      <c r="B3" s="3" t="s">
        <v>93</v>
      </c>
      <c r="C3" s="3" t="s">
        <v>94</v>
      </c>
      <c r="D3" s="3" t="s">
        <v>95</v>
      </c>
      <c r="E3" s="3" t="s">
        <v>81</v>
      </c>
      <c r="F3" s="3" t="s">
        <v>493</v>
      </c>
      <c r="G3" s="3" t="s">
        <v>86</v>
      </c>
      <c r="H3" s="3"/>
      <c r="I3" s="3" t="s">
        <v>82</v>
      </c>
      <c r="J3" s="3" t="s">
        <v>85</v>
      </c>
      <c r="K3" s="3" t="s">
        <v>494</v>
      </c>
      <c r="L3" s="3" t="s">
        <v>85</v>
      </c>
      <c r="M3" s="3"/>
      <c r="N3" s="3"/>
      <c r="O3" s="3" t="s">
        <v>495</v>
      </c>
    </row>
    <row r="4" spans="1:15" ht="64.95" customHeight="1" x14ac:dyDescent="0.3">
      <c r="A4" s="3" t="s">
        <v>497</v>
      </c>
      <c r="B4" s="3" t="s">
        <v>100</v>
      </c>
      <c r="C4" s="3" t="s">
        <v>101</v>
      </c>
      <c r="D4" s="3" t="s">
        <v>102</v>
      </c>
      <c r="E4" s="3" t="s">
        <v>81</v>
      </c>
      <c r="F4" s="3" t="s">
        <v>493</v>
      </c>
      <c r="G4" s="3" t="s">
        <v>86</v>
      </c>
      <c r="H4" s="3"/>
      <c r="I4" s="3" t="s">
        <v>82</v>
      </c>
      <c r="J4" s="3" t="s">
        <v>85</v>
      </c>
      <c r="K4" s="3" t="s">
        <v>494</v>
      </c>
      <c r="L4" s="3" t="s">
        <v>85</v>
      </c>
      <c r="M4" s="3"/>
      <c r="N4" s="3"/>
      <c r="O4" s="3" t="s">
        <v>495</v>
      </c>
    </row>
    <row r="5" spans="1:15" ht="64.95" customHeight="1" x14ac:dyDescent="0.3">
      <c r="A5" s="3" t="s">
        <v>498</v>
      </c>
      <c r="B5" s="3" t="s">
        <v>105</v>
      </c>
      <c r="C5" s="3" t="s">
        <v>106</v>
      </c>
      <c r="D5" s="3" t="s">
        <v>107</v>
      </c>
      <c r="E5" s="3" t="s">
        <v>81</v>
      </c>
      <c r="F5" s="3" t="s">
        <v>493</v>
      </c>
      <c r="G5" s="3" t="s">
        <v>86</v>
      </c>
      <c r="H5" s="3"/>
      <c r="I5" s="3" t="s">
        <v>82</v>
      </c>
      <c r="J5" s="3" t="s">
        <v>85</v>
      </c>
      <c r="K5" s="3" t="s">
        <v>494</v>
      </c>
      <c r="L5" s="3" t="s">
        <v>85</v>
      </c>
      <c r="M5" s="3"/>
      <c r="N5" s="3"/>
      <c r="O5" s="3" t="s">
        <v>495</v>
      </c>
    </row>
    <row r="6" spans="1:15" ht="64.95" customHeight="1" x14ac:dyDescent="0.3">
      <c r="A6" s="3" t="s">
        <v>499</v>
      </c>
      <c r="B6" s="3" t="s">
        <v>110</v>
      </c>
      <c r="C6" s="3" t="s">
        <v>111</v>
      </c>
      <c r="D6" s="3" t="s">
        <v>112</v>
      </c>
      <c r="E6" s="3" t="s">
        <v>81</v>
      </c>
      <c r="F6" s="3" t="s">
        <v>493</v>
      </c>
      <c r="G6" s="3" t="s">
        <v>86</v>
      </c>
      <c r="H6" s="3"/>
      <c r="I6" s="3" t="s">
        <v>82</v>
      </c>
      <c r="J6" s="3" t="s">
        <v>85</v>
      </c>
      <c r="K6" s="3" t="s">
        <v>494</v>
      </c>
      <c r="L6" s="3" t="s">
        <v>85</v>
      </c>
      <c r="M6" s="3"/>
      <c r="N6" s="3"/>
      <c r="O6" s="3" t="s">
        <v>495</v>
      </c>
    </row>
    <row r="7" spans="1:15" ht="64.95" customHeight="1" x14ac:dyDescent="0.3">
      <c r="A7" s="3" t="s">
        <v>500</v>
      </c>
      <c r="B7" s="3" t="s">
        <v>115</v>
      </c>
      <c r="C7" s="3" t="s">
        <v>116</v>
      </c>
      <c r="D7" s="3" t="s">
        <v>117</v>
      </c>
      <c r="E7" s="3" t="s">
        <v>81</v>
      </c>
      <c r="F7" s="3" t="s">
        <v>493</v>
      </c>
      <c r="G7" s="3" t="s">
        <v>86</v>
      </c>
      <c r="H7" s="3"/>
      <c r="I7" s="3" t="s">
        <v>82</v>
      </c>
      <c r="J7" s="3" t="s">
        <v>85</v>
      </c>
      <c r="K7" s="3" t="s">
        <v>494</v>
      </c>
      <c r="L7" s="3" t="s">
        <v>85</v>
      </c>
      <c r="M7" s="3"/>
      <c r="N7" s="3"/>
      <c r="O7" s="3" t="s">
        <v>495</v>
      </c>
    </row>
    <row r="8" spans="1:15" ht="64.95" customHeight="1" x14ac:dyDescent="0.3">
      <c r="A8" s="3" t="s">
        <v>501</v>
      </c>
      <c r="B8" s="3" t="s">
        <v>120</v>
      </c>
      <c r="C8" s="3" t="s">
        <v>121</v>
      </c>
      <c r="D8" s="3" t="s">
        <v>122</v>
      </c>
      <c r="E8" s="3" t="s">
        <v>81</v>
      </c>
      <c r="F8" s="3" t="s">
        <v>493</v>
      </c>
      <c r="G8" s="3" t="s">
        <v>86</v>
      </c>
      <c r="H8" s="3"/>
      <c r="I8" s="3" t="s">
        <v>82</v>
      </c>
      <c r="J8" s="3" t="s">
        <v>85</v>
      </c>
      <c r="K8" s="3" t="s">
        <v>494</v>
      </c>
      <c r="L8" s="3" t="s">
        <v>85</v>
      </c>
      <c r="M8" s="3"/>
      <c r="N8" s="3"/>
      <c r="O8" s="3" t="s">
        <v>495</v>
      </c>
    </row>
    <row r="9" spans="1:15" ht="64.95" customHeight="1" x14ac:dyDescent="0.3">
      <c r="A9" s="3" t="s">
        <v>502</v>
      </c>
      <c r="B9" s="3" t="s">
        <v>125</v>
      </c>
      <c r="C9" s="3" t="s">
        <v>126</v>
      </c>
      <c r="D9" s="3" t="s">
        <v>127</v>
      </c>
      <c r="E9" s="3" t="s">
        <v>81</v>
      </c>
      <c r="F9" s="3" t="s">
        <v>493</v>
      </c>
      <c r="G9" s="3" t="s">
        <v>86</v>
      </c>
      <c r="H9" s="3"/>
      <c r="I9" s="3" t="s">
        <v>82</v>
      </c>
      <c r="J9" s="3" t="s">
        <v>85</v>
      </c>
      <c r="K9" s="3" t="s">
        <v>494</v>
      </c>
      <c r="L9" s="3" t="s">
        <v>85</v>
      </c>
      <c r="M9" s="3"/>
      <c r="N9" s="3"/>
      <c r="O9" s="3" t="s">
        <v>495</v>
      </c>
    </row>
    <row r="10" spans="1:15" ht="64.95" customHeight="1" x14ac:dyDescent="0.3">
      <c r="A10" s="3" t="s">
        <v>503</v>
      </c>
      <c r="B10" s="3" t="s">
        <v>130</v>
      </c>
      <c r="C10" s="3" t="s">
        <v>131</v>
      </c>
      <c r="D10" s="3" t="s">
        <v>132</v>
      </c>
      <c r="E10" s="3" t="s">
        <v>81</v>
      </c>
      <c r="F10" s="3" t="s">
        <v>493</v>
      </c>
      <c r="G10" s="3" t="s">
        <v>86</v>
      </c>
      <c r="H10" s="3"/>
      <c r="I10" s="3" t="s">
        <v>82</v>
      </c>
      <c r="J10" s="3" t="s">
        <v>85</v>
      </c>
      <c r="K10" s="3" t="s">
        <v>494</v>
      </c>
      <c r="L10" s="3" t="s">
        <v>85</v>
      </c>
      <c r="M10" s="3"/>
      <c r="N10" s="3"/>
      <c r="O10" s="3" t="s">
        <v>495</v>
      </c>
    </row>
    <row r="11" spans="1:15" ht="64.95" customHeight="1" x14ac:dyDescent="0.3">
      <c r="A11" s="3" t="s">
        <v>504</v>
      </c>
      <c r="B11" s="3" t="s">
        <v>135</v>
      </c>
      <c r="C11" s="3" t="s">
        <v>136</v>
      </c>
      <c r="D11" s="3" t="s">
        <v>137</v>
      </c>
      <c r="E11" s="3" t="s">
        <v>81</v>
      </c>
      <c r="F11" s="3" t="s">
        <v>493</v>
      </c>
      <c r="G11" s="3" t="s">
        <v>86</v>
      </c>
      <c r="H11" s="3"/>
      <c r="I11" s="3" t="s">
        <v>82</v>
      </c>
      <c r="J11" s="3" t="s">
        <v>85</v>
      </c>
      <c r="K11" s="3" t="s">
        <v>494</v>
      </c>
      <c r="L11" s="3" t="s">
        <v>85</v>
      </c>
      <c r="M11" s="3"/>
      <c r="N11" s="3"/>
      <c r="O11" s="3" t="s">
        <v>495</v>
      </c>
    </row>
    <row r="12" spans="1:15" ht="64.95" customHeight="1" x14ac:dyDescent="0.3">
      <c r="A12" s="3" t="s">
        <v>505</v>
      </c>
      <c r="B12" s="3" t="s">
        <v>140</v>
      </c>
      <c r="C12" s="3" t="s">
        <v>141</v>
      </c>
      <c r="D12" s="3" t="s">
        <v>142</v>
      </c>
      <c r="E12" s="3" t="s">
        <v>81</v>
      </c>
      <c r="F12" s="3" t="s">
        <v>493</v>
      </c>
      <c r="G12" s="3" t="s">
        <v>86</v>
      </c>
      <c r="H12" s="3"/>
      <c r="I12" s="3" t="s">
        <v>82</v>
      </c>
      <c r="J12" s="3" t="s">
        <v>85</v>
      </c>
      <c r="K12" s="3" t="s">
        <v>494</v>
      </c>
      <c r="L12" s="3" t="s">
        <v>85</v>
      </c>
      <c r="M12" s="3"/>
      <c r="N12" s="3"/>
      <c r="O12" s="3" t="s">
        <v>495</v>
      </c>
    </row>
    <row r="13" spans="1:15" ht="64.95" customHeight="1" x14ac:dyDescent="0.3">
      <c r="A13" s="3" t="s">
        <v>506</v>
      </c>
      <c r="B13" s="3" t="s">
        <v>145</v>
      </c>
      <c r="C13" s="3" t="s">
        <v>146</v>
      </c>
      <c r="D13" s="3" t="s">
        <v>147</v>
      </c>
      <c r="E13" s="3" t="s">
        <v>81</v>
      </c>
      <c r="F13" s="3" t="s">
        <v>493</v>
      </c>
      <c r="G13" s="3" t="s">
        <v>86</v>
      </c>
      <c r="H13" s="3"/>
      <c r="I13" s="3" t="s">
        <v>82</v>
      </c>
      <c r="J13" s="3" t="s">
        <v>85</v>
      </c>
      <c r="K13" s="3" t="s">
        <v>494</v>
      </c>
      <c r="L13" s="3" t="s">
        <v>85</v>
      </c>
      <c r="M13" s="3"/>
      <c r="N13" s="3"/>
      <c r="O13" s="3" t="s">
        <v>495</v>
      </c>
    </row>
    <row r="14" spans="1:15" ht="64.95" customHeight="1" x14ac:dyDescent="0.3">
      <c r="A14" s="3" t="s">
        <v>507</v>
      </c>
      <c r="B14" s="3" t="s">
        <v>150</v>
      </c>
      <c r="C14" s="3" t="s">
        <v>151</v>
      </c>
      <c r="D14" s="3" t="s">
        <v>152</v>
      </c>
      <c r="E14" s="3" t="s">
        <v>81</v>
      </c>
      <c r="F14" s="3" t="s">
        <v>493</v>
      </c>
      <c r="G14" s="3" t="s">
        <v>86</v>
      </c>
      <c r="H14" s="3"/>
      <c r="I14" s="3" t="s">
        <v>82</v>
      </c>
      <c r="J14" s="3" t="s">
        <v>85</v>
      </c>
      <c r="K14" s="3" t="s">
        <v>494</v>
      </c>
      <c r="L14" s="3" t="s">
        <v>85</v>
      </c>
      <c r="M14" s="3"/>
      <c r="N14" s="3"/>
      <c r="O14" s="3" t="s">
        <v>495</v>
      </c>
    </row>
    <row r="15" spans="1:15" ht="64.95" customHeight="1" x14ac:dyDescent="0.3">
      <c r="A15" s="3" t="s">
        <v>508</v>
      </c>
      <c r="B15" s="3" t="s">
        <v>155</v>
      </c>
      <c r="C15" s="3" t="s">
        <v>156</v>
      </c>
      <c r="D15" s="3" t="s">
        <v>157</v>
      </c>
      <c r="E15" s="3" t="s">
        <v>81</v>
      </c>
      <c r="F15" s="3" t="s">
        <v>493</v>
      </c>
      <c r="G15" s="3" t="s">
        <v>86</v>
      </c>
      <c r="H15" s="3"/>
      <c r="I15" s="3" t="s">
        <v>82</v>
      </c>
      <c r="J15" s="3" t="s">
        <v>85</v>
      </c>
      <c r="K15" s="3" t="s">
        <v>494</v>
      </c>
      <c r="L15" s="3" t="s">
        <v>85</v>
      </c>
      <c r="M15" s="3"/>
      <c r="N15" s="3"/>
      <c r="O15" s="3" t="s">
        <v>495</v>
      </c>
    </row>
    <row r="16" spans="1:15" ht="64.95" customHeight="1" x14ac:dyDescent="0.3">
      <c r="A16" s="3" t="s">
        <v>509</v>
      </c>
      <c r="B16" s="3" t="s">
        <v>160</v>
      </c>
      <c r="C16" s="3" t="s">
        <v>161</v>
      </c>
      <c r="D16" s="3" t="s">
        <v>162</v>
      </c>
      <c r="E16" s="3" t="s">
        <v>81</v>
      </c>
      <c r="F16" s="3" t="s">
        <v>493</v>
      </c>
      <c r="G16" s="3" t="s">
        <v>86</v>
      </c>
      <c r="H16" s="3"/>
      <c r="I16" s="3" t="s">
        <v>82</v>
      </c>
      <c r="J16" s="3" t="s">
        <v>85</v>
      </c>
      <c r="K16" s="3" t="s">
        <v>494</v>
      </c>
      <c r="L16" s="3" t="s">
        <v>85</v>
      </c>
      <c r="M16" s="3"/>
      <c r="N16" s="3"/>
      <c r="O16" s="3" t="s">
        <v>495</v>
      </c>
    </row>
    <row r="17" spans="1:15" ht="64.95" customHeight="1" x14ac:dyDescent="0.3">
      <c r="A17" s="3" t="s">
        <v>510</v>
      </c>
      <c r="B17" s="3" t="s">
        <v>165</v>
      </c>
      <c r="C17" s="3" t="s">
        <v>166</v>
      </c>
      <c r="D17" s="3" t="s">
        <v>167</v>
      </c>
      <c r="E17" s="3" t="s">
        <v>81</v>
      </c>
      <c r="F17" s="3" t="s">
        <v>493</v>
      </c>
      <c r="G17" s="3" t="s">
        <v>86</v>
      </c>
      <c r="H17" s="3"/>
      <c r="I17" s="3" t="s">
        <v>82</v>
      </c>
      <c r="J17" s="3" t="s">
        <v>85</v>
      </c>
      <c r="K17" s="3" t="s">
        <v>494</v>
      </c>
      <c r="L17" s="3" t="s">
        <v>85</v>
      </c>
      <c r="M17" s="3"/>
      <c r="N17" s="3"/>
      <c r="O17" s="3" t="s">
        <v>495</v>
      </c>
    </row>
    <row r="18" spans="1:15" ht="64.95" customHeight="1" x14ac:dyDescent="0.3">
      <c r="A18" s="3" t="s">
        <v>511</v>
      </c>
      <c r="B18" s="3" t="s">
        <v>172</v>
      </c>
      <c r="C18" s="3" t="s">
        <v>173</v>
      </c>
      <c r="D18" s="3" t="s">
        <v>174</v>
      </c>
      <c r="E18" s="3" t="s">
        <v>81</v>
      </c>
      <c r="F18" s="3" t="s">
        <v>493</v>
      </c>
      <c r="G18" s="3" t="s">
        <v>86</v>
      </c>
      <c r="H18" s="3"/>
      <c r="I18" s="3" t="s">
        <v>82</v>
      </c>
      <c r="J18" s="3" t="s">
        <v>85</v>
      </c>
      <c r="K18" s="3" t="s">
        <v>494</v>
      </c>
      <c r="L18" s="3" t="s">
        <v>85</v>
      </c>
      <c r="M18" s="3"/>
      <c r="N18" s="3"/>
      <c r="O18" s="3" t="s">
        <v>495</v>
      </c>
    </row>
    <row r="19" spans="1:15" ht="64.95" customHeight="1" x14ac:dyDescent="0.3">
      <c r="A19" s="3" t="s">
        <v>512</v>
      </c>
      <c r="B19" s="3" t="s">
        <v>177</v>
      </c>
      <c r="C19" s="3" t="s">
        <v>178</v>
      </c>
      <c r="D19" s="3" t="s">
        <v>179</v>
      </c>
      <c r="E19" s="3" t="s">
        <v>81</v>
      </c>
      <c r="F19" s="3" t="s">
        <v>493</v>
      </c>
      <c r="G19" s="3" t="s">
        <v>86</v>
      </c>
      <c r="H19" s="3"/>
      <c r="I19" s="3" t="s">
        <v>82</v>
      </c>
      <c r="J19" s="3" t="s">
        <v>85</v>
      </c>
      <c r="K19" s="3" t="s">
        <v>494</v>
      </c>
      <c r="L19" s="3" t="s">
        <v>85</v>
      </c>
      <c r="M19" s="3"/>
      <c r="N19" s="3"/>
      <c r="O19" s="3" t="s">
        <v>495</v>
      </c>
    </row>
    <row r="20" spans="1:15" ht="64.95" customHeight="1" x14ac:dyDescent="0.3">
      <c r="A20" s="3" t="s">
        <v>513</v>
      </c>
      <c r="B20" s="3" t="s">
        <v>182</v>
      </c>
      <c r="C20" s="3" t="s">
        <v>183</v>
      </c>
      <c r="D20" s="3" t="s">
        <v>184</v>
      </c>
      <c r="E20" s="3" t="s">
        <v>81</v>
      </c>
      <c r="F20" s="3" t="s">
        <v>493</v>
      </c>
      <c r="G20" s="3" t="s">
        <v>86</v>
      </c>
      <c r="H20" s="3"/>
      <c r="I20" s="3" t="s">
        <v>82</v>
      </c>
      <c r="J20" s="3" t="s">
        <v>85</v>
      </c>
      <c r="K20" s="3" t="s">
        <v>494</v>
      </c>
      <c r="L20" s="3" t="s">
        <v>85</v>
      </c>
      <c r="M20" s="3"/>
      <c r="N20" s="3"/>
      <c r="O20" s="3" t="s">
        <v>495</v>
      </c>
    </row>
    <row r="21" spans="1:15" ht="64.95" customHeight="1" x14ac:dyDescent="0.3">
      <c r="A21" s="3" t="s">
        <v>514</v>
      </c>
      <c r="B21" s="3" t="s">
        <v>187</v>
      </c>
      <c r="C21" s="3" t="s">
        <v>188</v>
      </c>
      <c r="D21" s="3" t="s">
        <v>189</v>
      </c>
      <c r="E21" s="3" t="s">
        <v>81</v>
      </c>
      <c r="F21" s="3" t="s">
        <v>493</v>
      </c>
      <c r="G21" s="3" t="s">
        <v>86</v>
      </c>
      <c r="H21" s="3"/>
      <c r="I21" s="3" t="s">
        <v>82</v>
      </c>
      <c r="J21" s="3" t="s">
        <v>85</v>
      </c>
      <c r="K21" s="3" t="s">
        <v>494</v>
      </c>
      <c r="L21" s="3" t="s">
        <v>85</v>
      </c>
      <c r="M21" s="3"/>
      <c r="N21" s="3"/>
      <c r="O21" s="3" t="s">
        <v>495</v>
      </c>
    </row>
    <row r="22" spans="1:15" ht="64.95" customHeight="1" x14ac:dyDescent="0.3">
      <c r="A22" s="3" t="s">
        <v>515</v>
      </c>
      <c r="B22" s="3" t="s">
        <v>192</v>
      </c>
      <c r="C22" s="3" t="s">
        <v>193</v>
      </c>
      <c r="D22" s="3" t="s">
        <v>194</v>
      </c>
      <c r="E22" s="3" t="s">
        <v>81</v>
      </c>
      <c r="F22" s="3" t="s">
        <v>493</v>
      </c>
      <c r="G22" s="3" t="s">
        <v>86</v>
      </c>
      <c r="H22" s="3"/>
      <c r="I22" s="3" t="s">
        <v>82</v>
      </c>
      <c r="J22" s="3" t="s">
        <v>85</v>
      </c>
      <c r="K22" s="3" t="s">
        <v>494</v>
      </c>
      <c r="L22" s="3" t="s">
        <v>85</v>
      </c>
      <c r="M22" s="3"/>
      <c r="N22" s="3"/>
      <c r="O22" s="3" t="s">
        <v>495</v>
      </c>
    </row>
    <row r="23" spans="1:15" ht="64.95" customHeight="1" x14ac:dyDescent="0.3">
      <c r="A23" s="3" t="s">
        <v>516</v>
      </c>
      <c r="B23" s="3" t="s">
        <v>197</v>
      </c>
      <c r="C23" s="3" t="s">
        <v>198</v>
      </c>
      <c r="D23" s="3" t="s">
        <v>199</v>
      </c>
      <c r="E23" s="3" t="s">
        <v>81</v>
      </c>
      <c r="F23" s="3" t="s">
        <v>493</v>
      </c>
      <c r="G23" s="3" t="s">
        <v>86</v>
      </c>
      <c r="H23" s="3"/>
      <c r="I23" s="3" t="s">
        <v>82</v>
      </c>
      <c r="J23" s="3" t="s">
        <v>85</v>
      </c>
      <c r="K23" s="3" t="s">
        <v>494</v>
      </c>
      <c r="L23" s="3" t="s">
        <v>85</v>
      </c>
      <c r="M23" s="3"/>
      <c r="N23" s="3"/>
      <c r="O23" s="3" t="s">
        <v>495</v>
      </c>
    </row>
    <row r="24" spans="1:15" ht="64.95" customHeight="1" x14ac:dyDescent="0.3">
      <c r="A24" s="3" t="s">
        <v>517</v>
      </c>
      <c r="B24" s="3" t="s">
        <v>202</v>
      </c>
      <c r="C24" s="3" t="s">
        <v>203</v>
      </c>
      <c r="D24" s="3" t="s">
        <v>204</v>
      </c>
      <c r="E24" s="3" t="s">
        <v>81</v>
      </c>
      <c r="F24" s="3" t="s">
        <v>493</v>
      </c>
      <c r="G24" s="3" t="s">
        <v>86</v>
      </c>
      <c r="H24" s="3"/>
      <c r="I24" s="3" t="s">
        <v>82</v>
      </c>
      <c r="J24" s="3" t="s">
        <v>85</v>
      </c>
      <c r="K24" s="3" t="s">
        <v>494</v>
      </c>
      <c r="L24" s="3" t="s">
        <v>85</v>
      </c>
      <c r="M24" s="3"/>
      <c r="N24" s="3"/>
      <c r="O24" s="3" t="s">
        <v>495</v>
      </c>
    </row>
    <row r="25" spans="1:15" ht="64.95" customHeight="1" x14ac:dyDescent="0.3">
      <c r="A25" s="3" t="s">
        <v>518</v>
      </c>
      <c r="B25" s="3" t="s">
        <v>207</v>
      </c>
      <c r="C25" s="3" t="s">
        <v>208</v>
      </c>
      <c r="D25" s="3" t="s">
        <v>209</v>
      </c>
      <c r="E25" s="3" t="s">
        <v>81</v>
      </c>
      <c r="F25" s="3" t="s">
        <v>493</v>
      </c>
      <c r="G25" s="3" t="s">
        <v>86</v>
      </c>
      <c r="H25" s="3"/>
      <c r="I25" s="3" t="s">
        <v>82</v>
      </c>
      <c r="J25" s="3" t="s">
        <v>85</v>
      </c>
      <c r="K25" s="3" t="s">
        <v>494</v>
      </c>
      <c r="L25" s="3" t="s">
        <v>85</v>
      </c>
      <c r="M25" s="3"/>
      <c r="N25" s="3"/>
      <c r="O25" s="3" t="s">
        <v>495</v>
      </c>
    </row>
    <row r="26" spans="1:15" ht="64.95" customHeight="1" x14ac:dyDescent="0.3">
      <c r="A26" s="3" t="s">
        <v>519</v>
      </c>
      <c r="B26" s="3" t="s">
        <v>212</v>
      </c>
      <c r="C26" s="3" t="s">
        <v>213</v>
      </c>
      <c r="D26" s="3" t="s">
        <v>214</v>
      </c>
      <c r="E26" s="3" t="s">
        <v>81</v>
      </c>
      <c r="F26" s="3" t="s">
        <v>493</v>
      </c>
      <c r="G26" s="3" t="s">
        <v>86</v>
      </c>
      <c r="H26" s="3"/>
      <c r="I26" s="3" t="s">
        <v>82</v>
      </c>
      <c r="J26" s="3" t="s">
        <v>85</v>
      </c>
      <c r="K26" s="3" t="s">
        <v>494</v>
      </c>
      <c r="L26" s="3" t="s">
        <v>85</v>
      </c>
      <c r="M26" s="3"/>
      <c r="N26" s="3"/>
      <c r="O26" s="3" t="s">
        <v>495</v>
      </c>
    </row>
    <row r="27" spans="1:15" ht="64.95" customHeight="1" x14ac:dyDescent="0.3">
      <c r="A27" s="3" t="s">
        <v>520</v>
      </c>
      <c r="B27" s="3" t="s">
        <v>217</v>
      </c>
      <c r="C27" s="3" t="s">
        <v>218</v>
      </c>
      <c r="D27" s="3" t="s">
        <v>219</v>
      </c>
      <c r="E27" s="3" t="s">
        <v>81</v>
      </c>
      <c r="F27" s="3" t="s">
        <v>493</v>
      </c>
      <c r="G27" s="3" t="s">
        <v>86</v>
      </c>
      <c r="H27" s="3"/>
      <c r="I27" s="3" t="s">
        <v>82</v>
      </c>
      <c r="J27" s="3" t="s">
        <v>85</v>
      </c>
      <c r="K27" s="3" t="s">
        <v>494</v>
      </c>
      <c r="L27" s="3" t="s">
        <v>85</v>
      </c>
      <c r="M27" s="3"/>
      <c r="N27" s="3"/>
      <c r="O27" s="3" t="s">
        <v>495</v>
      </c>
    </row>
    <row r="28" spans="1:15" ht="64.95" customHeight="1" x14ac:dyDescent="0.3">
      <c r="A28" s="3" t="s">
        <v>521</v>
      </c>
      <c r="B28" s="3" t="s">
        <v>222</v>
      </c>
      <c r="C28" s="3" t="s">
        <v>223</v>
      </c>
      <c r="D28" s="3" t="s">
        <v>224</v>
      </c>
      <c r="E28" s="3" t="s">
        <v>81</v>
      </c>
      <c r="F28" s="3" t="s">
        <v>493</v>
      </c>
      <c r="G28" s="3" t="s">
        <v>86</v>
      </c>
      <c r="H28" s="3"/>
      <c r="I28" s="3" t="s">
        <v>82</v>
      </c>
      <c r="J28" s="3" t="s">
        <v>85</v>
      </c>
      <c r="K28" s="3" t="s">
        <v>494</v>
      </c>
      <c r="L28" s="3" t="s">
        <v>85</v>
      </c>
      <c r="M28" s="3"/>
      <c r="N28" s="3"/>
      <c r="O28" s="3" t="s">
        <v>495</v>
      </c>
    </row>
    <row r="29" spans="1:15" ht="64.95" customHeight="1" x14ac:dyDescent="0.3">
      <c r="A29" s="3" t="s">
        <v>522</v>
      </c>
      <c r="B29" s="3" t="s">
        <v>227</v>
      </c>
      <c r="C29" s="3" t="s">
        <v>228</v>
      </c>
      <c r="D29" s="3" t="s">
        <v>229</v>
      </c>
      <c r="E29" s="3" t="s">
        <v>81</v>
      </c>
      <c r="F29" s="3" t="s">
        <v>493</v>
      </c>
      <c r="G29" s="3" t="s">
        <v>86</v>
      </c>
      <c r="H29" s="3"/>
      <c r="I29" s="3" t="s">
        <v>82</v>
      </c>
      <c r="J29" s="3" t="s">
        <v>85</v>
      </c>
      <c r="K29" s="3" t="s">
        <v>494</v>
      </c>
      <c r="L29" s="3" t="s">
        <v>85</v>
      </c>
      <c r="M29" s="3"/>
      <c r="N29" s="3"/>
      <c r="O29" s="3" t="s">
        <v>495</v>
      </c>
    </row>
    <row r="30" spans="1:15" ht="64.95" customHeight="1" x14ac:dyDescent="0.3">
      <c r="A30" s="3" t="s">
        <v>523</v>
      </c>
      <c r="B30" s="3" t="s">
        <v>232</v>
      </c>
      <c r="C30" s="3" t="s">
        <v>233</v>
      </c>
      <c r="D30" s="3" t="s">
        <v>234</v>
      </c>
      <c r="E30" s="3" t="s">
        <v>81</v>
      </c>
      <c r="F30" s="3" t="s">
        <v>493</v>
      </c>
      <c r="G30" s="3" t="s">
        <v>86</v>
      </c>
      <c r="H30" s="3"/>
      <c r="I30" s="3" t="s">
        <v>82</v>
      </c>
      <c r="J30" s="3" t="s">
        <v>85</v>
      </c>
      <c r="K30" s="3" t="s">
        <v>494</v>
      </c>
      <c r="L30" s="3" t="s">
        <v>85</v>
      </c>
      <c r="M30" s="3"/>
      <c r="N30" s="3"/>
      <c r="O30" s="3" t="s">
        <v>495</v>
      </c>
    </row>
    <row r="31" spans="1:15" ht="64.95" customHeight="1" x14ac:dyDescent="0.3">
      <c r="A31" s="3" t="s">
        <v>524</v>
      </c>
      <c r="B31" s="3" t="s">
        <v>237</v>
      </c>
      <c r="C31" s="3" t="s">
        <v>238</v>
      </c>
      <c r="D31" s="3" t="s">
        <v>239</v>
      </c>
      <c r="E31" s="3" t="s">
        <v>81</v>
      </c>
      <c r="F31" s="3" t="s">
        <v>493</v>
      </c>
      <c r="G31" s="3" t="s">
        <v>86</v>
      </c>
      <c r="H31" s="3"/>
      <c r="I31" s="3" t="s">
        <v>82</v>
      </c>
      <c r="J31" s="3" t="s">
        <v>85</v>
      </c>
      <c r="K31" s="3" t="s">
        <v>494</v>
      </c>
      <c r="L31" s="3" t="s">
        <v>85</v>
      </c>
      <c r="M31" s="3"/>
      <c r="N31" s="3"/>
      <c r="O31" s="3" t="s">
        <v>495</v>
      </c>
    </row>
  </sheetData>
  <dataValidations count="4">
    <dataValidation type="list" allowBlank="1" sqref="E2:E31" xr:uid="{00000000-0002-0000-0500-000000000000}">
      <formula1>"Critical,High,Medium,Low,None"</formula1>
    </dataValidation>
    <dataValidation type="list" allowBlank="1" sqref="I2:I31" xr:uid="{00000000-0002-0000-0500-000001000000}">
      <formula1>"Open,In Progress,Implemented,Verified,Closed"</formula1>
    </dataValidation>
    <dataValidation type="list" allowBlank="1" sqref="J2:J31" xr:uid="{00000000-0002-0000-0500-000002000000}">
      <formula1>"Yes,No,Pending"</formula1>
    </dataValidation>
    <dataValidation type="list" allowBlank="1" sqref="L2:L31" xr:uid="{00000000-0002-0000-0500-000003000000}">
      <formula1>"Pending,In Progress,Verified,Not Applicable"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F75B5"/>
  </sheetPr>
  <dimension ref="A1:F10"/>
  <sheetViews>
    <sheetView showGridLines="0" workbookViewId="0">
      <pane ySplit="1" topLeftCell="A2" activePane="bottomLeft" state="frozen"/>
      <selection pane="bottomLeft" activeCell="C4" sqref="A2:C10"/>
    </sheetView>
  </sheetViews>
  <sheetFormatPr defaultRowHeight="14.4" x14ac:dyDescent="0.3"/>
  <cols>
    <col min="1" max="1" width="34" customWidth="1"/>
    <col min="2" max="2" width="24" customWidth="1"/>
    <col min="3" max="3" width="70" customWidth="1"/>
  </cols>
  <sheetData>
    <row r="1" spans="1:6" ht="46.05" customHeight="1" x14ac:dyDescent="0.3">
      <c r="A1" s="7" t="s">
        <v>525</v>
      </c>
      <c r="B1" s="7" t="s">
        <v>21</v>
      </c>
      <c r="C1" s="7" t="s">
        <v>526</v>
      </c>
      <c r="E1" s="1" t="s">
        <v>47</v>
      </c>
      <c r="F1" s="1" t="s">
        <v>527</v>
      </c>
    </row>
    <row r="2" spans="1:6" x14ac:dyDescent="0.3">
      <c r="A2" s="3" t="s">
        <v>528</v>
      </c>
      <c r="B2" s="3">
        <v>30</v>
      </c>
      <c r="C2" s="3" t="s">
        <v>529</v>
      </c>
      <c r="E2" t="s">
        <v>81</v>
      </c>
      <c r="F2">
        <f>COUNTIF('Incident Register'!L:L,E2)</f>
        <v>30</v>
      </c>
    </row>
    <row r="3" spans="1:6" x14ac:dyDescent="0.3">
      <c r="A3" s="3" t="s">
        <v>530</v>
      </c>
      <c r="B3" s="3">
        <v>30</v>
      </c>
      <c r="C3" s="3" t="s">
        <v>531</v>
      </c>
      <c r="E3" t="s">
        <v>170</v>
      </c>
      <c r="F3">
        <f>COUNTIF('Incident Register'!L:L,E3)</f>
        <v>0</v>
      </c>
    </row>
    <row r="4" spans="1:6" x14ac:dyDescent="0.3">
      <c r="A4" s="3" t="s">
        <v>532</v>
      </c>
      <c r="B4" s="3">
        <f>COUNTIF('Incident Register'!L:L,"Critical")</f>
        <v>0</v>
      </c>
      <c r="C4" s="3" t="s">
        <v>533</v>
      </c>
      <c r="E4" t="s">
        <v>98</v>
      </c>
      <c r="F4">
        <f>COUNTIF('Incident Register'!L:L,E4)</f>
        <v>0</v>
      </c>
    </row>
    <row r="5" spans="1:6" x14ac:dyDescent="0.3">
      <c r="A5" s="3" t="s">
        <v>534</v>
      </c>
      <c r="B5" s="3">
        <f>COUNTIF('Incident Register'!L:L,"High")</f>
        <v>0</v>
      </c>
      <c r="C5" s="3" t="s">
        <v>535</v>
      </c>
      <c r="E5" t="s">
        <v>78</v>
      </c>
      <c r="F5">
        <f>COUNTIF('Incident Register'!L:L,E5)</f>
        <v>0</v>
      </c>
    </row>
    <row r="6" spans="1:6" x14ac:dyDescent="0.3">
      <c r="A6" s="3" t="s">
        <v>536</v>
      </c>
      <c r="B6" s="3">
        <f>COUNTIF('Incident Register'!M:M,"Open")</f>
        <v>30</v>
      </c>
      <c r="C6" s="3" t="s">
        <v>537</v>
      </c>
      <c r="E6" t="s">
        <v>538</v>
      </c>
      <c r="F6">
        <f>COUNTIF('Incident Register'!L:L,E6)</f>
        <v>0</v>
      </c>
    </row>
    <row r="7" spans="1:6" x14ac:dyDescent="0.3">
      <c r="A7" s="3" t="s">
        <v>539</v>
      </c>
      <c r="B7" s="3">
        <f>COUNTIF('Incident Register'!J:J,"Data Breach")+COUNTIF('Incident Register'!J:J,"Security Incident")</f>
        <v>0</v>
      </c>
      <c r="C7" s="3" t="s">
        <v>540</v>
      </c>
    </row>
    <row r="8" spans="1:6" x14ac:dyDescent="0.3">
      <c r="A8" s="3" t="s">
        <v>541</v>
      </c>
      <c r="B8" s="3">
        <v>180</v>
      </c>
      <c r="C8" s="3" t="s">
        <v>542</v>
      </c>
    </row>
    <row r="9" spans="1:6" x14ac:dyDescent="0.3">
      <c r="A9" s="3" t="s">
        <v>543</v>
      </c>
      <c r="B9" s="3">
        <v>30</v>
      </c>
      <c r="C9" s="3" t="s">
        <v>544</v>
      </c>
    </row>
    <row r="10" spans="1:6" x14ac:dyDescent="0.3">
      <c r="A10" s="3" t="s">
        <v>545</v>
      </c>
      <c r="B10" s="3">
        <f>COUNTIF('Incident Register'!AK:AK,"Yes")</f>
        <v>0</v>
      </c>
      <c r="C10" s="3" t="s">
        <v>546</v>
      </c>
    </row>
  </sheetData>
  <pageMargins left="0.75" right="0.75" top="1" bottom="1" header="0.5" footer="0.5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F75B5"/>
  </sheetPr>
  <dimension ref="A1:K13"/>
  <sheetViews>
    <sheetView showGridLines="0" workbookViewId="0">
      <pane ySplit="1" topLeftCell="A2" activePane="bottomLeft" state="frozen"/>
      <selection pane="bottomLeft" activeCell="F6" sqref="A2:K13"/>
    </sheetView>
  </sheetViews>
  <sheetFormatPr defaultRowHeight="14.4" x14ac:dyDescent="0.3"/>
  <cols>
    <col min="1" max="1" width="15" customWidth="1"/>
    <col min="2" max="2" width="16" customWidth="1"/>
    <col min="3" max="3" width="20" customWidth="1"/>
    <col min="4" max="4" width="16" customWidth="1"/>
    <col min="5" max="6" width="18" customWidth="1"/>
    <col min="7" max="8" width="16" customWidth="1"/>
    <col min="9" max="10" width="14" customWidth="1"/>
    <col min="11" max="11" width="65" customWidth="1"/>
  </cols>
  <sheetData>
    <row r="1" spans="1:11" ht="46.05" customHeight="1" x14ac:dyDescent="0.3">
      <c r="A1" s="5" t="s">
        <v>547</v>
      </c>
      <c r="B1" s="5" t="s">
        <v>548</v>
      </c>
      <c r="C1" s="5" t="s">
        <v>549</v>
      </c>
      <c r="D1" s="5" t="s">
        <v>550</v>
      </c>
      <c r="E1" s="5" t="s">
        <v>551</v>
      </c>
      <c r="F1" s="5" t="s">
        <v>552</v>
      </c>
      <c r="G1" s="5" t="s">
        <v>553</v>
      </c>
      <c r="H1" s="5" t="s">
        <v>554</v>
      </c>
      <c r="I1" s="5" t="s">
        <v>82</v>
      </c>
      <c r="J1" s="5" t="s">
        <v>555</v>
      </c>
      <c r="K1" s="5" t="s">
        <v>556</v>
      </c>
    </row>
    <row r="2" spans="1:11" ht="45" customHeight="1" x14ac:dyDescent="0.3">
      <c r="A2" s="3" t="s">
        <v>557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 t="s">
        <v>558</v>
      </c>
    </row>
    <row r="3" spans="1:11" ht="45" customHeight="1" x14ac:dyDescent="0.3">
      <c r="A3" s="3" t="s">
        <v>559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 t="s">
        <v>558</v>
      </c>
    </row>
    <row r="4" spans="1:11" ht="45" customHeight="1" x14ac:dyDescent="0.3">
      <c r="A4" s="3" t="s">
        <v>560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 t="s">
        <v>558</v>
      </c>
    </row>
    <row r="5" spans="1:11" ht="45" customHeight="1" x14ac:dyDescent="0.3">
      <c r="A5" s="3" t="s">
        <v>561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 t="s">
        <v>558</v>
      </c>
    </row>
    <row r="6" spans="1:11" ht="45" customHeight="1" x14ac:dyDescent="0.3">
      <c r="A6" s="3" t="s">
        <v>562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 t="s">
        <v>558</v>
      </c>
    </row>
    <row r="7" spans="1:11" ht="45" customHeight="1" x14ac:dyDescent="0.3">
      <c r="A7" s="3" t="s">
        <v>563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 t="s">
        <v>558</v>
      </c>
    </row>
    <row r="8" spans="1:11" ht="45" customHeight="1" x14ac:dyDescent="0.3">
      <c r="A8" s="3" t="s">
        <v>564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 t="s">
        <v>558</v>
      </c>
    </row>
    <row r="9" spans="1:11" ht="45" customHeight="1" x14ac:dyDescent="0.3">
      <c r="A9" s="3" t="s">
        <v>565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 t="s">
        <v>558</v>
      </c>
    </row>
    <row r="10" spans="1:11" ht="45" customHeight="1" x14ac:dyDescent="0.3">
      <c r="A10" s="3" t="s">
        <v>566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 t="s">
        <v>558</v>
      </c>
    </row>
    <row r="11" spans="1:11" ht="45" customHeight="1" x14ac:dyDescent="0.3">
      <c r="A11" s="3" t="s">
        <v>567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 t="s">
        <v>558</v>
      </c>
    </row>
    <row r="12" spans="1:11" ht="45" customHeight="1" x14ac:dyDescent="0.3">
      <c r="A12" s="3" t="s">
        <v>568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 t="s">
        <v>558</v>
      </c>
    </row>
    <row r="13" spans="1:11" ht="45" customHeight="1" x14ac:dyDescent="0.3">
      <c r="A13" s="3" t="s">
        <v>569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 t="s">
        <v>558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AD47"/>
  </sheetPr>
  <dimension ref="A1:C9"/>
  <sheetViews>
    <sheetView showGridLines="0" workbookViewId="0">
      <pane ySplit="1" topLeftCell="A2" activePane="bottomLeft" state="frozen"/>
      <selection pane="bottomLeft" activeCell="B9" sqref="A2:C9"/>
    </sheetView>
  </sheetViews>
  <sheetFormatPr defaultRowHeight="14.4" x14ac:dyDescent="0.3"/>
  <cols>
    <col min="1" max="1" width="28" customWidth="1"/>
    <col min="2" max="2" width="75" customWidth="1"/>
    <col min="3" max="3" width="70" customWidth="1"/>
  </cols>
  <sheetData>
    <row r="1" spans="1:3" ht="46.05" customHeight="1" x14ac:dyDescent="0.3">
      <c r="A1" s="7" t="s">
        <v>570</v>
      </c>
      <c r="B1" s="7" t="s">
        <v>571</v>
      </c>
      <c r="C1" s="7" t="s">
        <v>572</v>
      </c>
    </row>
    <row r="2" spans="1:3" x14ac:dyDescent="0.3">
      <c r="A2" s="3" t="s">
        <v>573</v>
      </c>
      <c r="B2" s="3" t="s">
        <v>574</v>
      </c>
      <c r="C2" s="3" t="s">
        <v>575</v>
      </c>
    </row>
    <row r="3" spans="1:3" ht="28.8" x14ac:dyDescent="0.3">
      <c r="A3" s="3" t="s">
        <v>47</v>
      </c>
      <c r="B3" s="3" t="s">
        <v>576</v>
      </c>
      <c r="C3" s="3" t="s">
        <v>577</v>
      </c>
    </row>
    <row r="4" spans="1:3" x14ac:dyDescent="0.3">
      <c r="A4" s="3" t="s">
        <v>578</v>
      </c>
      <c r="B4" s="3" t="s">
        <v>579</v>
      </c>
      <c r="C4" s="3" t="s">
        <v>580</v>
      </c>
    </row>
    <row r="5" spans="1:3" x14ac:dyDescent="0.3">
      <c r="A5" s="3" t="s">
        <v>581</v>
      </c>
      <c r="B5" s="3" t="s">
        <v>582</v>
      </c>
      <c r="C5" s="3" t="s">
        <v>583</v>
      </c>
    </row>
    <row r="6" spans="1:3" x14ac:dyDescent="0.3">
      <c r="A6" s="3" t="s">
        <v>584</v>
      </c>
      <c r="B6" s="3" t="s">
        <v>585</v>
      </c>
      <c r="C6" s="3" t="s">
        <v>586</v>
      </c>
    </row>
    <row r="7" spans="1:3" x14ac:dyDescent="0.3">
      <c r="A7" s="3" t="s">
        <v>587</v>
      </c>
      <c r="B7" s="3" t="s">
        <v>588</v>
      </c>
      <c r="C7" s="3" t="s">
        <v>589</v>
      </c>
    </row>
    <row r="8" spans="1:3" x14ac:dyDescent="0.3">
      <c r="A8" s="3" t="s">
        <v>69</v>
      </c>
      <c r="B8" s="3" t="s">
        <v>590</v>
      </c>
      <c r="C8" s="3" t="s">
        <v>591</v>
      </c>
    </row>
    <row r="9" spans="1:3" x14ac:dyDescent="0.3">
      <c r="A9" s="3" t="s">
        <v>16</v>
      </c>
      <c r="B9" s="3" t="s">
        <v>592</v>
      </c>
      <c r="C9" s="3" t="s">
        <v>593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A5A5A5"/>
  </sheetPr>
  <dimension ref="A1:B39"/>
  <sheetViews>
    <sheetView showGridLines="0" tabSelected="1" workbookViewId="0">
      <pane ySplit="1" topLeftCell="A2" activePane="bottomLeft" state="frozen"/>
      <selection pane="bottomLeft" activeCell="E12" sqref="E12"/>
    </sheetView>
  </sheetViews>
  <sheetFormatPr defaultRowHeight="14.4" x14ac:dyDescent="0.3"/>
  <cols>
    <col min="1" max="1" width="40" customWidth="1"/>
    <col min="2" max="2" width="105" customWidth="1"/>
  </cols>
  <sheetData>
    <row r="1" spans="1:2" ht="46.05" customHeight="1" x14ac:dyDescent="0.3">
      <c r="A1" s="7" t="s">
        <v>20</v>
      </c>
      <c r="B1" s="7" t="s">
        <v>10</v>
      </c>
    </row>
    <row r="2" spans="1:2" x14ac:dyDescent="0.3">
      <c r="A2" s="3" t="s">
        <v>36</v>
      </c>
      <c r="B2" s="3" t="s">
        <v>594</v>
      </c>
    </row>
    <row r="3" spans="1:2" x14ac:dyDescent="0.3">
      <c r="A3" s="3" t="s">
        <v>37</v>
      </c>
      <c r="B3" s="3" t="s">
        <v>594</v>
      </c>
    </row>
    <row r="4" spans="1:2" x14ac:dyDescent="0.3">
      <c r="A4" s="3" t="s">
        <v>38</v>
      </c>
      <c r="B4" s="3" t="s">
        <v>594</v>
      </c>
    </row>
    <row r="5" spans="1:2" x14ac:dyDescent="0.3">
      <c r="A5" s="3" t="s">
        <v>39</v>
      </c>
      <c r="B5" s="3" t="s">
        <v>594</v>
      </c>
    </row>
    <row r="6" spans="1:2" x14ac:dyDescent="0.3">
      <c r="A6" s="3" t="s">
        <v>40</v>
      </c>
      <c r="B6" s="3" t="s">
        <v>594</v>
      </c>
    </row>
    <row r="7" spans="1:2" x14ac:dyDescent="0.3">
      <c r="A7" s="3" t="s">
        <v>41</v>
      </c>
      <c r="B7" s="3" t="s">
        <v>594</v>
      </c>
    </row>
    <row r="8" spans="1:2" x14ac:dyDescent="0.3">
      <c r="A8" s="3" t="s">
        <v>42</v>
      </c>
      <c r="B8" s="3" t="s">
        <v>594</v>
      </c>
    </row>
    <row r="9" spans="1:2" x14ac:dyDescent="0.3">
      <c r="A9" s="3" t="s">
        <v>43</v>
      </c>
      <c r="B9" s="3" t="s">
        <v>594</v>
      </c>
    </row>
    <row r="10" spans="1:2" x14ac:dyDescent="0.3">
      <c r="A10" s="3" t="s">
        <v>44</v>
      </c>
      <c r="B10" s="3" t="s">
        <v>594</v>
      </c>
    </row>
    <row r="11" spans="1:2" x14ac:dyDescent="0.3">
      <c r="A11" s="3" t="s">
        <v>45</v>
      </c>
      <c r="B11" s="3" t="s">
        <v>594</v>
      </c>
    </row>
    <row r="12" spans="1:2" x14ac:dyDescent="0.3">
      <c r="A12" s="3" t="s">
        <v>46</v>
      </c>
      <c r="B12" s="3" t="s">
        <v>594</v>
      </c>
    </row>
    <row r="13" spans="1:2" x14ac:dyDescent="0.3">
      <c r="A13" s="3" t="s">
        <v>47</v>
      </c>
      <c r="B13" s="3" t="s">
        <v>594</v>
      </c>
    </row>
    <row r="14" spans="1:2" x14ac:dyDescent="0.3">
      <c r="A14" s="3" t="s">
        <v>8</v>
      </c>
      <c r="B14" s="3" t="s">
        <v>594</v>
      </c>
    </row>
    <row r="15" spans="1:2" x14ac:dyDescent="0.3">
      <c r="A15" s="3" t="s">
        <v>48</v>
      </c>
      <c r="B15" s="3" t="s">
        <v>594</v>
      </c>
    </row>
    <row r="16" spans="1:2" x14ac:dyDescent="0.3">
      <c r="A16" s="3" t="s">
        <v>49</v>
      </c>
      <c r="B16" s="3" t="s">
        <v>594</v>
      </c>
    </row>
    <row r="17" spans="1:2" x14ac:dyDescent="0.3">
      <c r="A17" s="3" t="s">
        <v>50</v>
      </c>
      <c r="B17" s="3" t="s">
        <v>594</v>
      </c>
    </row>
    <row r="18" spans="1:2" x14ac:dyDescent="0.3">
      <c r="A18" s="3" t="s">
        <v>51</v>
      </c>
      <c r="B18" s="3" t="s">
        <v>594</v>
      </c>
    </row>
    <row r="19" spans="1:2" x14ac:dyDescent="0.3">
      <c r="A19" s="3" t="s">
        <v>52</v>
      </c>
      <c r="B19" s="3" t="s">
        <v>594</v>
      </c>
    </row>
    <row r="20" spans="1:2" x14ac:dyDescent="0.3">
      <c r="A20" s="3" t="s">
        <v>53</v>
      </c>
      <c r="B20" s="3" t="s">
        <v>594</v>
      </c>
    </row>
    <row r="21" spans="1:2" x14ac:dyDescent="0.3">
      <c r="A21" s="3" t="s">
        <v>54</v>
      </c>
      <c r="B21" s="3" t="s">
        <v>594</v>
      </c>
    </row>
    <row r="22" spans="1:2" x14ac:dyDescent="0.3">
      <c r="A22" s="3" t="s">
        <v>55</v>
      </c>
      <c r="B22" s="3" t="s">
        <v>594</v>
      </c>
    </row>
    <row r="23" spans="1:2" x14ac:dyDescent="0.3">
      <c r="A23" s="3" t="s">
        <v>56</v>
      </c>
      <c r="B23" s="3" t="s">
        <v>594</v>
      </c>
    </row>
    <row r="24" spans="1:2" x14ac:dyDescent="0.3">
      <c r="A24" s="3" t="s">
        <v>57</v>
      </c>
      <c r="B24" s="3" t="s">
        <v>594</v>
      </c>
    </row>
    <row r="25" spans="1:2" x14ac:dyDescent="0.3">
      <c r="A25" s="3" t="s">
        <v>58</v>
      </c>
      <c r="B25" s="3" t="s">
        <v>594</v>
      </c>
    </row>
    <row r="26" spans="1:2" x14ac:dyDescent="0.3">
      <c r="A26" s="3" t="s">
        <v>59</v>
      </c>
      <c r="B26" s="3" t="s">
        <v>594</v>
      </c>
    </row>
    <row r="27" spans="1:2" x14ac:dyDescent="0.3">
      <c r="A27" s="3" t="s">
        <v>60</v>
      </c>
      <c r="B27" s="3" t="s">
        <v>594</v>
      </c>
    </row>
    <row r="28" spans="1:2" x14ac:dyDescent="0.3">
      <c r="A28" s="3" t="s">
        <v>61</v>
      </c>
      <c r="B28" s="3" t="s">
        <v>594</v>
      </c>
    </row>
    <row r="29" spans="1:2" x14ac:dyDescent="0.3">
      <c r="A29" s="3" t="s">
        <v>62</v>
      </c>
      <c r="B29" s="3" t="s">
        <v>594</v>
      </c>
    </row>
    <row r="30" spans="1:2" x14ac:dyDescent="0.3">
      <c r="A30" s="3" t="s">
        <v>63</v>
      </c>
      <c r="B30" s="3" t="s">
        <v>594</v>
      </c>
    </row>
    <row r="31" spans="1:2" x14ac:dyDescent="0.3">
      <c r="A31" s="3" t="s">
        <v>64</v>
      </c>
      <c r="B31" s="3" t="s">
        <v>594</v>
      </c>
    </row>
    <row r="32" spans="1:2" x14ac:dyDescent="0.3">
      <c r="A32" s="3" t="s">
        <v>65</v>
      </c>
      <c r="B32" s="3" t="s">
        <v>594</v>
      </c>
    </row>
    <row r="33" spans="1:2" x14ac:dyDescent="0.3">
      <c r="A33" s="3" t="s">
        <v>66</v>
      </c>
      <c r="B33" s="3" t="s">
        <v>594</v>
      </c>
    </row>
    <row r="34" spans="1:2" x14ac:dyDescent="0.3">
      <c r="A34" s="3" t="s">
        <v>67</v>
      </c>
      <c r="B34" s="3" t="s">
        <v>594</v>
      </c>
    </row>
    <row r="35" spans="1:2" x14ac:dyDescent="0.3">
      <c r="A35" s="3" t="s">
        <v>68</v>
      </c>
      <c r="B35" s="3" t="s">
        <v>594</v>
      </c>
    </row>
    <row r="36" spans="1:2" x14ac:dyDescent="0.3">
      <c r="A36" s="3" t="s">
        <v>69</v>
      </c>
      <c r="B36" s="3" t="s">
        <v>594</v>
      </c>
    </row>
    <row r="37" spans="1:2" x14ac:dyDescent="0.3">
      <c r="A37" s="3" t="s">
        <v>70</v>
      </c>
      <c r="B37" s="3" t="s">
        <v>594</v>
      </c>
    </row>
    <row r="38" spans="1:2" x14ac:dyDescent="0.3">
      <c r="A38" s="3" t="s">
        <v>71</v>
      </c>
      <c r="B38" s="3" t="s">
        <v>594</v>
      </c>
    </row>
    <row r="39" spans="1:2" x14ac:dyDescent="0.3">
      <c r="A39" s="3" t="s">
        <v>72</v>
      </c>
      <c r="B39" s="3" t="s">
        <v>594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Document Control</vt:lpstr>
      <vt:lpstr>Incident Register</vt:lpstr>
      <vt:lpstr>Incident Assessment</vt:lpstr>
      <vt:lpstr>Notification Log</vt:lpstr>
      <vt:lpstr>Corrective Action Tracker</vt:lpstr>
      <vt:lpstr>Executive Summary</vt:lpstr>
      <vt:lpstr>Incident Trend Log</vt:lpstr>
      <vt:lpstr>Incident Methodology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2026-08-25T06:54:22Z</dcterms:created>
  <dcterms:modified xsi:type="dcterms:W3CDTF">2026-08-25T06:55:39Z</dcterms:modified>
</cp:coreProperties>
</file>