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3C523645-3AE9-4323-968F-00803B87A09B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Escalation Action Register" sheetId="3" r:id="rId3"/>
    <sheet name="Escalation Log" sheetId="4" r:id="rId4"/>
    <sheet name="Management Action Tracker" sheetId="5" r:id="rId5"/>
    <sheet name="Action Review Log" sheetId="6" r:id="rId6"/>
    <sheet name="Executive Summary" sheetId="7" r:id="rId7"/>
    <sheet name="Escalation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0" i="7"/>
  <c r="B9" i="7"/>
  <c r="B8" i="7"/>
  <c r="B7" i="7"/>
  <c r="F5" i="7"/>
  <c r="F4" i="7"/>
  <c r="F3" i="7"/>
  <c r="F2" i="7"/>
</calcChain>
</file>

<file path=xl/sharedStrings.xml><?xml version="1.0" encoding="utf-8"?>
<sst xmlns="http://schemas.openxmlformats.org/spreadsheetml/2006/main" count="2762" uniqueCount="502">
  <si>
    <t>TPRM-025 | VENDOR RISK ESCALATION &amp; MANAGEMENT ACTION REGISTER</t>
  </si>
  <si>
    <t>Mayekar Technologies Pvt. Ltd.</t>
  </si>
  <si>
    <t>Document ID</t>
  </si>
  <si>
    <t>MTPL-TPRM-025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</si>
  <si>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</si>
  <si>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</si>
  <si>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</si>
  <si>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</si>
  <si>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</si>
  <si>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</si>
  <si>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</si>
  <si>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register for escalating material vendor risks and tracking management actions through ownership, deadlines, escalation levels, evidence, validation and closure.</t>
  </si>
  <si>
    <t>Escalation Triggers</t>
  </si>
  <si>
    <t>Critical/high residual risk, overdue remediation, control failure, material incident, repeated SLA/security failure, expired risk acceptance, regulatory impact or significant vendor change.</t>
  </si>
  <si>
    <t>Management Principle</t>
  </si>
  <si>
    <t>Escalation should be proportionate to risk and should result in an accountable decision, action, deadline and evidence of closure/validation.</t>
  </si>
  <si>
    <t>Lifecycle</t>
  </si>
  <si>
    <t>Identify → Assess → Escalate → Assign → Remediate → Validate → Close / Re-escalate.</t>
  </si>
  <si>
    <t>Disclaimer</t>
  </si>
  <si>
    <t>All records, actions, priorities, dates and management decisions are simulated for portfolio/learning purposes.</t>
  </si>
  <si>
    <t>Field</t>
  </si>
  <si>
    <t>Value</t>
  </si>
  <si>
    <t>Document Title</t>
  </si>
  <si>
    <t>Vendor Risk Escalation &amp; Management Action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</si>
  <si>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</si>
  <si>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</si>
  <si>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</si>
  <si>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</si>
  <si>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</si>
  <si>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</si>
  <si>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</si>
  <si>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</si>
  <si>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Monthly / Event Driven</t>
  </si>
  <si>
    <t>Classification</t>
  </si>
  <si>
    <t>Internal / Confidential</t>
  </si>
  <si>
    <t>Portfolio / Simulated</t>
  </si>
  <si>
    <t>Action ID</t>
  </si>
  <si>
    <t>Vendor ID</t>
  </si>
  <si>
    <t>Vendor Name</t>
  </si>
  <si>
    <t>TPRM Tier</t>
  </si>
  <si>
    <t>Current Risk Rating</t>
  </si>
  <si>
    <t>Trigger Category</t>
  </si>
  <si>
    <t>Trigger Description</t>
  </si>
  <si>
    <t>Source / Risk ID</t>
  </si>
  <si>
    <t>Business Impact</t>
  </si>
  <si>
    <t>Security Impact</t>
  </si>
  <si>
    <t>Escalation Level</t>
  </si>
  <si>
    <t>Escalation Reason</t>
  </si>
  <si>
    <t>Date Identified</t>
  </si>
  <si>
    <t>Escalation Date</t>
  </si>
  <si>
    <t>Management Decision</t>
  </si>
  <si>
    <t>Action Required</t>
  </si>
  <si>
    <t>Action Owner</t>
  </si>
  <si>
    <t>Supporting Owner</t>
  </si>
  <si>
    <t>Priority</t>
  </si>
  <si>
    <t>Target Date</t>
  </si>
  <si>
    <t>Progress %</t>
  </si>
  <si>
    <t>Dependency</t>
  </si>
  <si>
    <t>Risk Treatment Link</t>
  </si>
  <si>
    <t>Risk Acceptance Link</t>
  </si>
  <si>
    <t>Exception Link</t>
  </si>
  <si>
    <t>Evidence Required</t>
  </si>
  <si>
    <t>Evidence Reference</t>
  </si>
  <si>
    <t>Validation Required</t>
  </si>
  <si>
    <t>Validation Status</t>
  </si>
  <si>
    <t>Overdue Days</t>
  </si>
  <si>
    <t>Escalation Required</t>
  </si>
  <si>
    <t>Escalated To</t>
  </si>
  <si>
    <t>Escalation Date 2</t>
  </si>
  <si>
    <t>Resolution / Outcome</t>
  </si>
  <si>
    <t>Closure Evidence</t>
  </si>
  <si>
    <t>Closure Date</t>
  </si>
  <si>
    <t>Risk Register Updated</t>
  </si>
  <si>
    <t>Management Comment</t>
  </si>
  <si>
    <t>ESC-001</t>
  </si>
  <si>
    <t>VND-001</t>
  </si>
  <si>
    <t>CloudSphere Infrastructure</t>
  </si>
  <si>
    <t>Enhanced</t>
  </si>
  <si>
    <t>Residual Vendor Risk</t>
  </si>
  <si>
    <t>Critical / High Residual Risk</t>
  </si>
  <si>
    <t>Material vendor risk requiring management attention.</t>
  </si>
  <si>
    <t>VND-001-RISK</t>
  </si>
  <si>
    <t>To Be Assessed</t>
  </si>
  <si>
    <t>Level 2 — GRC Manager</t>
  </si>
  <si>
    <t>Risk requires accountable action and monitoring.</t>
  </si>
  <si>
    <t>2026-08-25</t>
  </si>
  <si>
    <t>Pending</t>
  </si>
  <si>
    <t>Review root cause, define corrective action, assign owner and validate closure.</t>
  </si>
  <si>
    <t>Vendor Manager</t>
  </si>
  <si>
    <t>GRC Analyst</t>
  </si>
  <si>
    <t>Medium</t>
  </si>
  <si>
    <t>2026-10-31</t>
  </si>
  <si>
    <t>Open</t>
  </si>
  <si>
    <t>Business/security owner availability</t>
  </si>
  <si>
    <t>VND-001-RTP</t>
  </si>
  <si>
    <t>ACC-RR-001</t>
  </si>
  <si>
    <t>EXC-001</t>
  </si>
  <si>
    <t>Objective remediation evidence</t>
  </si>
  <si>
    <t>Yes</t>
  </si>
  <si>
    <t>No</t>
  </si>
  <si>
    <t>GRC Manager</t>
  </si>
  <si>
    <t>Simulated management action.</t>
  </si>
  <si>
    <t>ESC-002</t>
  </si>
  <si>
    <t>VND-002</t>
  </si>
  <si>
    <t>Microsoft 365 Services</t>
  </si>
  <si>
    <t>Standard</t>
  </si>
  <si>
    <t>Overdue Remediation</t>
  </si>
  <si>
    <t>VND-002-RISK</t>
  </si>
  <si>
    <t>VND-002-RTP</t>
  </si>
  <si>
    <t>ACC-RR-002</t>
  </si>
  <si>
    <t>EXC-002</t>
  </si>
  <si>
    <t>ESC-003</t>
  </si>
  <si>
    <t>VND-003</t>
  </si>
  <si>
    <t>SecureVault Backup</t>
  </si>
  <si>
    <t>Security Incident</t>
  </si>
  <si>
    <t>VND-003-RISK</t>
  </si>
  <si>
    <t>VND-003-RTP</t>
  </si>
  <si>
    <t>ACC-RR-003</t>
  </si>
  <si>
    <t>EXC-003</t>
  </si>
  <si>
    <t>ESC-004</t>
  </si>
  <si>
    <t>VND-004</t>
  </si>
  <si>
    <t>TalentCore HRMS</t>
  </si>
  <si>
    <t>Control Failure</t>
  </si>
  <si>
    <t>VND-004-RISK</t>
  </si>
  <si>
    <t>VND-004-RTP</t>
  </si>
  <si>
    <t>ACC-RR-004</t>
  </si>
  <si>
    <t>EXC-004</t>
  </si>
  <si>
    <t>ESC-005</t>
  </si>
  <si>
    <t>VND-005</t>
  </si>
  <si>
    <t>PayMatrix Solutions</t>
  </si>
  <si>
    <t>SLA / Performance Failure</t>
  </si>
  <si>
    <t>VND-005-RISK</t>
  </si>
  <si>
    <t>VND-005-RTP</t>
  </si>
  <si>
    <t>ACC-RR-005</t>
  </si>
  <si>
    <t>EXC-005</t>
  </si>
  <si>
    <t>ESC-006</t>
  </si>
  <si>
    <t>VND-006</t>
  </si>
  <si>
    <t>SalesFlow CRM</t>
  </si>
  <si>
    <t>Expired Risk Acceptance</t>
  </si>
  <si>
    <t>VND-006-RISK</t>
  </si>
  <si>
    <t>VND-006-RTP</t>
  </si>
  <si>
    <t>ACC-RR-006</t>
  </si>
  <si>
    <t>EXC-006</t>
  </si>
  <si>
    <t>ESC-007</t>
  </si>
  <si>
    <t>VND-007</t>
  </si>
  <si>
    <t>NetShield SOC Services</t>
  </si>
  <si>
    <t>Regulatory / Compliance Change</t>
  </si>
  <si>
    <t>VND-007-RISK</t>
  </si>
  <si>
    <t>VND-007-RTP</t>
  </si>
  <si>
    <t>ACC-RR-007</t>
  </si>
  <si>
    <t>EXC-007</t>
  </si>
  <si>
    <t>ESC-008</t>
  </si>
  <si>
    <t>VND-008</t>
  </si>
  <si>
    <t>RedFort Security Testing</t>
  </si>
  <si>
    <t>Material Vendor Change</t>
  </si>
  <si>
    <t>VND-008-RISK</t>
  </si>
  <si>
    <t>VND-008-RTP</t>
  </si>
  <si>
    <t>ACC-RR-008</t>
  </si>
  <si>
    <t>EXC-008</t>
  </si>
  <si>
    <t>ESC-009</t>
  </si>
  <si>
    <t>VND-009</t>
  </si>
  <si>
    <t>EndpointGuard Technologies</t>
  </si>
  <si>
    <t>Audit Finding</t>
  </si>
  <si>
    <t>VND-009-RISK</t>
  </si>
  <si>
    <t>VND-009-RTP</t>
  </si>
  <si>
    <t>ACC-RR-009</t>
  </si>
  <si>
    <t>EXC-009</t>
  </si>
  <si>
    <t>ESC-010</t>
  </si>
  <si>
    <t>VND-010</t>
  </si>
  <si>
    <t>ConnectNet Communications</t>
  </si>
  <si>
    <t>Other</t>
  </si>
  <si>
    <t>VND-010-RISK</t>
  </si>
  <si>
    <t>VND-010-RTP</t>
  </si>
  <si>
    <t>ACC-RR-010</t>
  </si>
  <si>
    <t>EXC-010</t>
  </si>
  <si>
    <t>ESC-011</t>
  </si>
  <si>
    <t>VND-011</t>
  </si>
  <si>
    <t>DataCenterOne</t>
  </si>
  <si>
    <t>VND-011-RISK</t>
  </si>
  <si>
    <t>VND-011-RTP</t>
  </si>
  <si>
    <t>ACC-RR-011</t>
  </si>
  <si>
    <t>EXC-011</t>
  </si>
  <si>
    <t>ESC-012</t>
  </si>
  <si>
    <t>VND-012</t>
  </si>
  <si>
    <t>RecruitPro Services</t>
  </si>
  <si>
    <t>VND-012-RISK</t>
  </si>
  <si>
    <t>VND-012-RTP</t>
  </si>
  <si>
    <t>ACC-RR-012</t>
  </si>
  <si>
    <t>EXC-012</t>
  </si>
  <si>
    <t>ESC-013</t>
  </si>
  <si>
    <t>VND-013</t>
  </si>
  <si>
    <t>FinLedger Systems</t>
  </si>
  <si>
    <t>VND-013-RISK</t>
  </si>
  <si>
    <t>VND-013-RTP</t>
  </si>
  <si>
    <t>ACC-RR-013</t>
  </si>
  <si>
    <t>EXC-013</t>
  </si>
  <si>
    <t>ESC-014</t>
  </si>
  <si>
    <t>VND-014</t>
  </si>
  <si>
    <t>PayGate Services</t>
  </si>
  <si>
    <t>VND-014-RISK</t>
  </si>
  <si>
    <t>VND-014-RTP</t>
  </si>
  <si>
    <t>ACC-RR-014</t>
  </si>
  <si>
    <t>EXC-014</t>
  </si>
  <si>
    <t>ESC-015</t>
  </si>
  <si>
    <t>VND-015</t>
  </si>
  <si>
    <t>ServiceDesk Pro</t>
  </si>
  <si>
    <t>VND-015-RISK</t>
  </si>
  <si>
    <t>VND-015-RTP</t>
  </si>
  <si>
    <t>ACC-RR-015</t>
  </si>
  <si>
    <t>EXC-015</t>
  </si>
  <si>
    <t>ESC-016</t>
  </si>
  <si>
    <t>VND-016</t>
  </si>
  <si>
    <t>PrintSecure Solutions</t>
  </si>
  <si>
    <t>Basic</t>
  </si>
  <si>
    <t>VND-016-RISK</t>
  </si>
  <si>
    <t>VND-016-RTP</t>
  </si>
  <si>
    <t>ACC-RR-016</t>
  </si>
  <si>
    <t>EXC-016</t>
  </si>
  <si>
    <t>ESC-017</t>
  </si>
  <si>
    <t>VND-017</t>
  </si>
  <si>
    <t>DocuSign Services</t>
  </si>
  <si>
    <t>VND-017-RISK</t>
  </si>
  <si>
    <t>VND-017-RTP</t>
  </si>
  <si>
    <t>ACC-RR-017</t>
  </si>
  <si>
    <t>EXC-017</t>
  </si>
  <si>
    <t>ESC-018</t>
  </si>
  <si>
    <t>VND-018</t>
  </si>
  <si>
    <t>LegalEdge Associates</t>
  </si>
  <si>
    <t>VND-018-RISK</t>
  </si>
  <si>
    <t>VND-018-RTP</t>
  </si>
  <si>
    <t>ACC-RR-018</t>
  </si>
  <si>
    <t>EXC-018</t>
  </si>
  <si>
    <t>ESC-019</t>
  </si>
  <si>
    <t>VND-019</t>
  </si>
  <si>
    <t>ComplianceCheck Advisory</t>
  </si>
  <si>
    <t>VND-019-RISK</t>
  </si>
  <si>
    <t>VND-019-RTP</t>
  </si>
  <si>
    <t>ACC-RR-019</t>
  </si>
  <si>
    <t>EXC-019</t>
  </si>
  <si>
    <t>ESC-020</t>
  </si>
  <si>
    <t>VND-020</t>
  </si>
  <si>
    <t>SecureShred Services</t>
  </si>
  <si>
    <t>VND-020-RISK</t>
  </si>
  <si>
    <t>VND-020-RTP</t>
  </si>
  <si>
    <t>ACC-RR-020</t>
  </si>
  <si>
    <t>EXC-020</t>
  </si>
  <si>
    <t>ESC-021</t>
  </si>
  <si>
    <t>VND-021</t>
  </si>
  <si>
    <t>GuardForce Security</t>
  </si>
  <si>
    <t>VND-021-RISK</t>
  </si>
  <si>
    <t>VND-021-RTP</t>
  </si>
  <si>
    <t>ACC-RR-021</t>
  </si>
  <si>
    <t>EXC-021</t>
  </si>
  <si>
    <t>ESC-022</t>
  </si>
  <si>
    <t>VND-022</t>
  </si>
  <si>
    <t>SafeCam Systems</t>
  </si>
  <si>
    <t>VND-022-RISK</t>
  </si>
  <si>
    <t>VND-022-RTP</t>
  </si>
  <si>
    <t>ACC-RR-022</t>
  </si>
  <si>
    <t>EXC-022</t>
  </si>
  <si>
    <t>ESC-023</t>
  </si>
  <si>
    <t>VND-023</t>
  </si>
  <si>
    <t>OfficeNet Infrastructure</t>
  </si>
  <si>
    <t>VND-023-RISK</t>
  </si>
  <si>
    <t>VND-023-RTP</t>
  </si>
  <si>
    <t>ACC-RR-023</t>
  </si>
  <si>
    <t>EXC-023</t>
  </si>
  <si>
    <t>ESC-024</t>
  </si>
  <si>
    <t>VND-024</t>
  </si>
  <si>
    <t>CodeSecure Labs</t>
  </si>
  <si>
    <t>VND-024-RISK</t>
  </si>
  <si>
    <t>VND-024-RTP</t>
  </si>
  <si>
    <t>ACC-RR-024</t>
  </si>
  <si>
    <t>EXC-024</t>
  </si>
  <si>
    <t>ESC-025</t>
  </si>
  <si>
    <t>VND-025</t>
  </si>
  <si>
    <t>LearnSecure Training</t>
  </si>
  <si>
    <t>VND-025-RISK</t>
  </si>
  <si>
    <t>VND-025-RTP</t>
  </si>
  <si>
    <t>ACC-RR-025</t>
  </si>
  <si>
    <t>EXC-025</t>
  </si>
  <si>
    <t>ESC-026</t>
  </si>
  <si>
    <t>VND-026</t>
  </si>
  <si>
    <t>TeleSupport Services</t>
  </si>
  <si>
    <t>VND-026-RISK</t>
  </si>
  <si>
    <t>VND-026-RTP</t>
  </si>
  <si>
    <t>ACC-RR-026</t>
  </si>
  <si>
    <t>EXC-026</t>
  </si>
  <si>
    <t>ESC-027</t>
  </si>
  <si>
    <t>VND-027</t>
  </si>
  <si>
    <t>MarketReach Analytics</t>
  </si>
  <si>
    <t>VND-027-RISK</t>
  </si>
  <si>
    <t>VND-027-RTP</t>
  </si>
  <si>
    <t>ACC-RR-027</t>
  </si>
  <si>
    <t>EXC-027</t>
  </si>
  <si>
    <t>ESC-028</t>
  </si>
  <si>
    <t>VND-028</t>
  </si>
  <si>
    <t>DevCloud Platform</t>
  </si>
  <si>
    <t>VND-028-RISK</t>
  </si>
  <si>
    <t>VND-028-RTP</t>
  </si>
  <si>
    <t>ACC-RR-028</t>
  </si>
  <si>
    <t>EXC-028</t>
  </si>
  <si>
    <t>ESC-029</t>
  </si>
  <si>
    <t>VND-029</t>
  </si>
  <si>
    <t>DisasterReady DR Services</t>
  </si>
  <si>
    <t>VND-029-RISK</t>
  </si>
  <si>
    <t>VND-029-RTP</t>
  </si>
  <si>
    <t>ACC-RR-029</t>
  </si>
  <si>
    <t>EXC-029</t>
  </si>
  <si>
    <t>ESC-030</t>
  </si>
  <si>
    <t>VND-030</t>
  </si>
  <si>
    <t>SecureCourier Logistics</t>
  </si>
  <si>
    <t>VND-030-RISK</t>
  </si>
  <si>
    <t>VND-030-RTP</t>
  </si>
  <si>
    <t>ACC-RR-030</t>
  </si>
  <si>
    <t>EXC-030</t>
  </si>
  <si>
    <t>Escalation ID</t>
  </si>
  <si>
    <t>Escalated From</t>
  </si>
  <si>
    <t>Reason</t>
  </si>
  <si>
    <t>Decision Required</t>
  </si>
  <si>
    <t>Response Due Date</t>
  </si>
  <si>
    <t>Response Received Date</t>
  </si>
  <si>
    <t>Decision</t>
  </si>
  <si>
    <t>Conditions</t>
  </si>
  <si>
    <t>Comments</t>
  </si>
  <si>
    <t>ESCLOG-001</t>
  </si>
  <si>
    <t>Material vendor risk requires management decision.</t>
  </si>
  <si>
    <t>Approve action plan and remediation deadline.</t>
  </si>
  <si>
    <t>2026-09-05</t>
  </si>
  <si>
    <t>Document conditions if approved.</t>
  </si>
  <si>
    <t>Simulated escalation log.</t>
  </si>
  <si>
    <t>ESCLOG-002</t>
  </si>
  <si>
    <t>ESCLOG-003</t>
  </si>
  <si>
    <t>ESCLOG-004</t>
  </si>
  <si>
    <t>ESCLOG-005</t>
  </si>
  <si>
    <t>ESCLOG-006</t>
  </si>
  <si>
    <t>ESCLOG-007</t>
  </si>
  <si>
    <t>ESCLOG-008</t>
  </si>
  <si>
    <t>ESCLOG-009</t>
  </si>
  <si>
    <t>ESCLOG-010</t>
  </si>
  <si>
    <t>ESCLOG-011</t>
  </si>
  <si>
    <t>ESCLOG-012</t>
  </si>
  <si>
    <t>ESCLOG-013</t>
  </si>
  <si>
    <t>ESCLOG-014</t>
  </si>
  <si>
    <t>ESCLOG-015</t>
  </si>
  <si>
    <t>ESCLOG-016</t>
  </si>
  <si>
    <t>ESCLOG-017</t>
  </si>
  <si>
    <t>ESCLOG-018</t>
  </si>
  <si>
    <t>ESCLOG-019</t>
  </si>
  <si>
    <t>ESCLOG-020</t>
  </si>
  <si>
    <t>ESCLOG-021</t>
  </si>
  <si>
    <t>ESCLOG-022</t>
  </si>
  <si>
    <t>ESCLOG-023</t>
  </si>
  <si>
    <t>ESCLOG-024</t>
  </si>
  <si>
    <t>ESCLOG-025</t>
  </si>
  <si>
    <t>ESCLOG-026</t>
  </si>
  <si>
    <t>ESCLOG-027</t>
  </si>
  <si>
    <t>ESCLOG-028</t>
  </si>
  <si>
    <t>ESCLOG-029</t>
  </si>
  <si>
    <t>ESCLOG-030</t>
  </si>
  <si>
    <t>Management Action ID</t>
  </si>
  <si>
    <t>Action Category</t>
  </si>
  <si>
    <t>Action Description</t>
  </si>
  <si>
    <t>Owner</t>
  </si>
  <si>
    <t>Start Date</t>
  </si>
  <si>
    <t>Blocker</t>
  </si>
  <si>
    <t>Validation</t>
  </si>
  <si>
    <t>Validation Date</t>
  </si>
  <si>
    <t>Outcome</t>
  </si>
  <si>
    <t>MA-001</t>
  </si>
  <si>
    <t>Risk Treatment</t>
  </si>
  <si>
    <t>Implement agreed corrective action and provide objective evidence.</t>
  </si>
  <si>
    <t>None</t>
  </si>
  <si>
    <t>Business/security dependency</t>
  </si>
  <si>
    <t>Objective closure evidence</t>
  </si>
  <si>
    <t>Simulated action.</t>
  </si>
  <si>
    <t>MA-002</t>
  </si>
  <si>
    <t>Control Remediation</t>
  </si>
  <si>
    <t>MA-003</t>
  </si>
  <si>
    <t>Contractual Remediation</t>
  </si>
  <si>
    <t>MA-004</t>
  </si>
  <si>
    <t>Security Improvement</t>
  </si>
  <si>
    <t>MA-005</t>
  </si>
  <si>
    <t>Incident Corrective Action</t>
  </si>
  <si>
    <t>MA-006</t>
  </si>
  <si>
    <t>SLA Improvement</t>
  </si>
  <si>
    <t>MA-007</t>
  </si>
  <si>
    <t>Compliance Action</t>
  </si>
  <si>
    <t>MA-008</t>
  </si>
  <si>
    <t>MA-009</t>
  </si>
  <si>
    <t>MA-010</t>
  </si>
  <si>
    <t>MA-011</t>
  </si>
  <si>
    <t>MA-012</t>
  </si>
  <si>
    <t>MA-013</t>
  </si>
  <si>
    <t>MA-014</t>
  </si>
  <si>
    <t>MA-015</t>
  </si>
  <si>
    <t>MA-016</t>
  </si>
  <si>
    <t>MA-017</t>
  </si>
  <si>
    <t>MA-018</t>
  </si>
  <si>
    <t>MA-019</t>
  </si>
  <si>
    <t>MA-020</t>
  </si>
  <si>
    <t>MA-021</t>
  </si>
  <si>
    <t>MA-022</t>
  </si>
  <si>
    <t>MA-023</t>
  </si>
  <si>
    <t>MA-024</t>
  </si>
  <si>
    <t>MA-025</t>
  </si>
  <si>
    <t>MA-026</t>
  </si>
  <si>
    <t>MA-027</t>
  </si>
  <si>
    <t>MA-028</t>
  </si>
  <si>
    <t>MA-029</t>
  </si>
  <si>
    <t>MA-030</t>
  </si>
  <si>
    <t>Review ID</t>
  </si>
  <si>
    <t>Review Date</t>
  </si>
  <si>
    <t>Previous Status</t>
  </si>
  <si>
    <t>Current Status</t>
  </si>
  <si>
    <t>Days Overdue</t>
  </si>
  <si>
    <t>Risk Changed</t>
  </si>
  <si>
    <t>Incident / Change</t>
  </si>
  <si>
    <t>Escalate Further</t>
  </si>
  <si>
    <t>Reviewer</t>
  </si>
  <si>
    <t>REV-MA-001</t>
  </si>
  <si>
    <t>2026-09-30</t>
  </si>
  <si>
    <t>Continue remediation</t>
  </si>
  <si>
    <t>Simulated review.</t>
  </si>
  <si>
    <t>REV-MA-002</t>
  </si>
  <si>
    <t>REV-MA-003</t>
  </si>
  <si>
    <t>REV-MA-004</t>
  </si>
  <si>
    <t>REV-MA-005</t>
  </si>
  <si>
    <t>REV-MA-006</t>
  </si>
  <si>
    <t>REV-MA-007</t>
  </si>
  <si>
    <t>REV-MA-008</t>
  </si>
  <si>
    <t>REV-MA-009</t>
  </si>
  <si>
    <t>REV-MA-010</t>
  </si>
  <si>
    <t>REV-MA-011</t>
  </si>
  <si>
    <t>REV-MA-012</t>
  </si>
  <si>
    <t>REV-MA-013</t>
  </si>
  <si>
    <t>REV-MA-014</t>
  </si>
  <si>
    <t>REV-MA-015</t>
  </si>
  <si>
    <t>REV-MA-016</t>
  </si>
  <si>
    <t>REV-MA-017</t>
  </si>
  <si>
    <t>REV-MA-018</t>
  </si>
  <si>
    <t>REV-MA-019</t>
  </si>
  <si>
    <t>REV-MA-020</t>
  </si>
  <si>
    <t>REV-MA-021</t>
  </si>
  <si>
    <t>REV-MA-022</t>
  </si>
  <si>
    <t>REV-MA-023</t>
  </si>
  <si>
    <t>REV-MA-024</t>
  </si>
  <si>
    <t>REV-MA-025</t>
  </si>
  <si>
    <t>REV-MA-026</t>
  </si>
  <si>
    <t>REV-MA-027</t>
  </si>
  <si>
    <t>REV-MA-028</t>
  </si>
  <si>
    <t>REV-MA-029</t>
  </si>
  <si>
    <t>REV-MA-030</t>
  </si>
  <si>
    <t>Metric</t>
  </si>
  <si>
    <t>Management Interpretation</t>
  </si>
  <si>
    <t>Count</t>
  </si>
  <si>
    <t>Vendor Population</t>
  </si>
  <si>
    <t>Current escalation and management-action population</t>
  </si>
  <si>
    <t>Critical</t>
  </si>
  <si>
    <t>Escalation Records</t>
  </si>
  <si>
    <t>Baseline escalation records</t>
  </si>
  <si>
    <t>High</t>
  </si>
  <si>
    <t>Management Actions</t>
  </si>
  <si>
    <t>Corrective action workload</t>
  </si>
  <si>
    <t>Escalation Log Records</t>
  </si>
  <si>
    <t>Formal escalation workflow</t>
  </si>
  <si>
    <t>Low</t>
  </si>
  <si>
    <t>Review Records</t>
  </si>
  <si>
    <t>Periodic action review population</t>
  </si>
  <si>
    <t>Critical / High Actions</t>
  </si>
  <si>
    <t>Priority management workload</t>
  </si>
  <si>
    <t>Blocked Actions</t>
  </si>
  <si>
    <t>Requires management intervention</t>
  </si>
  <si>
    <t>Open Actions</t>
  </si>
  <si>
    <t>Active remediation workload</t>
  </si>
  <si>
    <t>Pending Validation</t>
  </si>
  <si>
    <t>Closure assurance backlog</t>
  </si>
  <si>
    <t>Further Escalation Required</t>
  </si>
  <si>
    <t>Needs higher management attention</t>
  </si>
  <si>
    <t>Area</t>
  </si>
  <si>
    <t>Guidance</t>
  </si>
  <si>
    <t>Rule</t>
  </si>
  <si>
    <t>Trigger</t>
  </si>
  <si>
    <t>Identify material risk, failure or overdue obligation</t>
  </si>
  <si>
    <t>Document objective trigger and source</t>
  </si>
  <si>
    <t>Escalate proportionately to risk and decision authority</t>
  </si>
  <si>
    <t>Critical issues should reach appropriate senior management</t>
  </si>
  <si>
    <t>Management Action</t>
  </si>
  <si>
    <t>Define one accountable action, owner and target date</t>
  </si>
  <si>
    <t>Avoid actions without measurable closure criteria</t>
  </si>
  <si>
    <t>Monitoring</t>
  </si>
  <si>
    <t>Review progress and changing risk</t>
  </si>
  <si>
    <t>Blocked/overdue items require intervention</t>
  </si>
  <si>
    <t>Confirm remediation/control effectiveness</t>
  </si>
  <si>
    <t>Closure requires objective evidence</t>
  </si>
  <si>
    <t>Re-escalation</t>
  </si>
  <si>
    <t>Escalate when risk increases or action is blocked</t>
  </si>
  <si>
    <t>Do not allow repeated deadline slippage without decision</t>
  </si>
  <si>
    <t>Closure</t>
  </si>
  <si>
    <t>Document outcome and update risk/treatment records</t>
  </si>
  <si>
    <t>Retain closure evidence</t>
  </si>
  <si>
    <t>Field used to document vendor risk escalation, management decisions, corrective actions, deadlines, evidence, validation and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</si>
</sst>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10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Management Action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E-4EAF-AA32-88E4D2D53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Priority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Actions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iskEscalationActionRegister" displayName="VendorRiskEscalationActionRegister" ref="A1:AM31">
  <autoFilter ref="A1:AM31" xr:uid="{00000000-0009-0000-0100-000001000000}"/>
  <tableColumns count="39">
    <tableColumn id="1" xr3:uid="{00000000-0010-0000-0000-000001000000}" name="Action ID" dataDxfId="97"/>
    <tableColumn id="2" xr3:uid="{00000000-0010-0000-0000-000002000000}" name="Vendor ID" dataDxfId="96"/>
    <tableColumn id="3" xr3:uid="{00000000-0010-0000-0000-000003000000}" name="Vendor Name" dataDxfId="95"/>
    <tableColumn id="4" xr3:uid="{00000000-0010-0000-0000-000004000000}" name="TPRM Tier" dataDxfId="94"/>
    <tableColumn id="5" xr3:uid="{00000000-0010-0000-0000-000005000000}" name="Current Risk Rating" dataDxfId="93"/>
    <tableColumn id="6" xr3:uid="{00000000-0010-0000-0000-000006000000}" name="Trigger Category" dataDxfId="92"/>
    <tableColumn id="7" xr3:uid="{00000000-0010-0000-0000-000007000000}" name="Trigger Description" dataDxfId="91"/>
    <tableColumn id="8" xr3:uid="{00000000-0010-0000-0000-000008000000}" name="Source / Risk ID" dataDxfId="90"/>
    <tableColumn id="9" xr3:uid="{00000000-0010-0000-0000-000009000000}" name="Business Impact" dataDxfId="89"/>
    <tableColumn id="10" xr3:uid="{00000000-0010-0000-0000-00000A000000}" name="Security Impact" dataDxfId="88"/>
    <tableColumn id="11" xr3:uid="{00000000-0010-0000-0000-00000B000000}" name="Escalation Level" dataDxfId="87"/>
    <tableColumn id="12" xr3:uid="{00000000-0010-0000-0000-00000C000000}" name="Escalation Reason" dataDxfId="86"/>
    <tableColumn id="13" xr3:uid="{00000000-0010-0000-0000-00000D000000}" name="Date Identified" dataDxfId="85"/>
    <tableColumn id="14" xr3:uid="{00000000-0010-0000-0000-00000E000000}" name="Escalation Date" dataDxfId="84"/>
    <tableColumn id="15" xr3:uid="{00000000-0010-0000-0000-00000F000000}" name="Management Decision" dataDxfId="83"/>
    <tableColumn id="16" xr3:uid="{00000000-0010-0000-0000-000010000000}" name="Action Required" dataDxfId="82"/>
    <tableColumn id="17" xr3:uid="{00000000-0010-0000-0000-000011000000}" name="Action Owner" dataDxfId="81"/>
    <tableColumn id="18" xr3:uid="{00000000-0010-0000-0000-000012000000}" name="Supporting Owner" dataDxfId="80"/>
    <tableColumn id="19" xr3:uid="{00000000-0010-0000-0000-000013000000}" name="Priority" dataDxfId="79"/>
    <tableColumn id="20" xr3:uid="{00000000-0010-0000-0000-000014000000}" name="Target Date" dataDxfId="78"/>
    <tableColumn id="21" xr3:uid="{00000000-0010-0000-0000-000015000000}" name="Status" dataDxfId="77"/>
    <tableColumn id="22" xr3:uid="{00000000-0010-0000-0000-000016000000}" name="Progress %" dataDxfId="76"/>
    <tableColumn id="23" xr3:uid="{00000000-0010-0000-0000-000017000000}" name="Dependency" dataDxfId="75"/>
    <tableColumn id="24" xr3:uid="{00000000-0010-0000-0000-000018000000}" name="Risk Treatment Link" dataDxfId="74"/>
    <tableColumn id="25" xr3:uid="{00000000-0010-0000-0000-000019000000}" name="Risk Acceptance Link" dataDxfId="73"/>
    <tableColumn id="26" xr3:uid="{00000000-0010-0000-0000-00001A000000}" name="Exception Link" dataDxfId="72"/>
    <tableColumn id="27" xr3:uid="{00000000-0010-0000-0000-00001B000000}" name="Evidence Required" dataDxfId="71"/>
    <tableColumn id="28" xr3:uid="{00000000-0010-0000-0000-00001C000000}" name="Evidence Reference" dataDxfId="70"/>
    <tableColumn id="29" xr3:uid="{00000000-0010-0000-0000-00001D000000}" name="Validation Required" dataDxfId="69"/>
    <tableColumn id="30" xr3:uid="{00000000-0010-0000-0000-00001E000000}" name="Validation Status" dataDxfId="68"/>
    <tableColumn id="31" xr3:uid="{00000000-0010-0000-0000-00001F000000}" name="Overdue Days" dataDxfId="67"/>
    <tableColumn id="32" xr3:uid="{00000000-0010-0000-0000-000020000000}" name="Escalation Required" dataDxfId="66"/>
    <tableColumn id="33" xr3:uid="{00000000-0010-0000-0000-000021000000}" name="Escalated To" dataDxfId="65"/>
    <tableColumn id="34" xr3:uid="{00000000-0010-0000-0000-000022000000}" name="Escalation Date 2" dataDxfId="64"/>
    <tableColumn id="35" xr3:uid="{00000000-0010-0000-0000-000023000000}" name="Resolution / Outcome" dataDxfId="63"/>
    <tableColumn id="36" xr3:uid="{00000000-0010-0000-0000-000024000000}" name="Closure Evidence" dataDxfId="62"/>
    <tableColumn id="37" xr3:uid="{00000000-0010-0000-0000-000025000000}" name="Closure Date" dataDxfId="61"/>
    <tableColumn id="38" xr3:uid="{00000000-0010-0000-0000-000026000000}" name="Risk Register Updated" dataDxfId="60"/>
    <tableColumn id="39" xr3:uid="{00000000-0010-0000-0000-000027000000}" name="Management Comment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calationLog" displayName="EscalationLog" ref="A1:Q31">
  <autoFilter ref="A1:Q31" xr:uid="{00000000-0009-0000-0100-000002000000}"/>
  <tableColumns count="17">
    <tableColumn id="1" xr3:uid="{00000000-0010-0000-0100-000001000000}" name="Escalation ID" dataDxfId="58"/>
    <tableColumn id="2" xr3:uid="{00000000-0010-0000-0100-000002000000}" name="Action ID" dataDxfId="57"/>
    <tableColumn id="3" xr3:uid="{00000000-0010-0000-0100-000003000000}" name="Vendor ID" dataDxfId="56"/>
    <tableColumn id="4" xr3:uid="{00000000-0010-0000-0100-000004000000}" name="Vendor Name" dataDxfId="55"/>
    <tableColumn id="5" xr3:uid="{00000000-0010-0000-0100-000005000000}" name="Escalation Level" dataDxfId="54"/>
    <tableColumn id="6" xr3:uid="{00000000-0010-0000-0100-000006000000}" name="Escalated From" dataDxfId="53"/>
    <tableColumn id="7" xr3:uid="{00000000-0010-0000-0100-000007000000}" name="Escalated To" dataDxfId="52"/>
    <tableColumn id="8" xr3:uid="{00000000-0010-0000-0100-000008000000}" name="Escalation Date" dataDxfId="51"/>
    <tableColumn id="9" xr3:uid="{00000000-0010-0000-0100-000009000000}" name="Reason" dataDxfId="50"/>
    <tableColumn id="10" xr3:uid="{00000000-0010-0000-0100-00000A000000}" name="Decision Required" dataDxfId="49"/>
    <tableColumn id="11" xr3:uid="{00000000-0010-0000-0100-00000B000000}" name="Response Due Date" dataDxfId="48"/>
    <tableColumn id="12" xr3:uid="{00000000-0010-0000-0100-00000C000000}" name="Response Received Date" dataDxfId="47"/>
    <tableColumn id="13" xr3:uid="{00000000-0010-0000-0100-00000D000000}" name="Decision" dataDxfId="46"/>
    <tableColumn id="14" xr3:uid="{00000000-0010-0000-0100-00000E000000}" name="Conditions" dataDxfId="45"/>
    <tableColumn id="15" xr3:uid="{00000000-0010-0000-0100-00000F000000}" name="Evidence Reference" dataDxfId="44"/>
    <tableColumn id="16" xr3:uid="{00000000-0010-0000-0100-000010000000}" name="Status" dataDxfId="43"/>
    <tableColumn id="17" xr3:uid="{00000000-0010-0000-0100-000011000000}" name="Comments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nagementActionTracker" displayName="ManagementActionTracker" ref="A1:U31">
  <autoFilter ref="A1:U31" xr:uid="{00000000-0009-0000-0100-000003000000}"/>
  <tableColumns count="21">
    <tableColumn id="1" xr3:uid="{00000000-0010-0000-0200-000001000000}" name="Management Action ID" dataDxfId="41"/>
    <tableColumn id="2" xr3:uid="{00000000-0010-0000-0200-000002000000}" name="Action ID" dataDxfId="40"/>
    <tableColumn id="3" xr3:uid="{00000000-0010-0000-0200-000003000000}" name="Vendor ID" dataDxfId="39"/>
    <tableColumn id="4" xr3:uid="{00000000-0010-0000-0200-000004000000}" name="Vendor Name" dataDxfId="38"/>
    <tableColumn id="5" xr3:uid="{00000000-0010-0000-0200-000005000000}" name="Action Category" dataDxfId="37"/>
    <tableColumn id="6" xr3:uid="{00000000-0010-0000-0200-000006000000}" name="Action Description" dataDxfId="36"/>
    <tableColumn id="7" xr3:uid="{00000000-0010-0000-0200-000007000000}" name="Owner" dataDxfId="35"/>
    <tableColumn id="8" xr3:uid="{00000000-0010-0000-0200-000008000000}" name="Priority" dataDxfId="34"/>
    <tableColumn id="9" xr3:uid="{00000000-0010-0000-0200-000009000000}" name="Start Date" dataDxfId="33"/>
    <tableColumn id="10" xr3:uid="{00000000-0010-0000-0200-00000A000000}" name="Target Date" dataDxfId="32"/>
    <tableColumn id="11" xr3:uid="{00000000-0010-0000-0200-00000B000000}" name="Status" dataDxfId="31"/>
    <tableColumn id="12" xr3:uid="{00000000-0010-0000-0200-00000C000000}" name="Progress %" dataDxfId="30"/>
    <tableColumn id="13" xr3:uid="{00000000-0010-0000-0200-00000D000000}" name="Blocker" dataDxfId="29"/>
    <tableColumn id="14" xr3:uid="{00000000-0010-0000-0200-00000E000000}" name="Dependency" dataDxfId="28"/>
    <tableColumn id="15" xr3:uid="{00000000-0010-0000-0200-00000F000000}" name="Evidence Required" dataDxfId="27"/>
    <tableColumn id="16" xr3:uid="{00000000-0010-0000-0200-000010000000}" name="Evidence Reference" dataDxfId="26"/>
    <tableColumn id="17" xr3:uid="{00000000-0010-0000-0200-000011000000}" name="Validation" dataDxfId="25"/>
    <tableColumn id="18" xr3:uid="{00000000-0010-0000-0200-000012000000}" name="Validation Date" dataDxfId="24"/>
    <tableColumn id="19" xr3:uid="{00000000-0010-0000-0200-000013000000}" name="Closure Date" dataDxfId="23"/>
    <tableColumn id="20" xr3:uid="{00000000-0010-0000-0200-000014000000}" name="Outcome" dataDxfId="22"/>
    <tableColumn id="21" xr3:uid="{00000000-0010-0000-0200-000015000000}" name="Comments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onReviewLog" displayName="ActionReviewLog" ref="A1:R31">
  <autoFilter ref="A1:R31" xr:uid="{00000000-0009-0000-0100-000004000000}"/>
  <tableColumns count="18">
    <tableColumn id="1" xr3:uid="{00000000-0010-0000-0300-000001000000}" name="Review ID" dataDxfId="20"/>
    <tableColumn id="2" xr3:uid="{00000000-0010-0000-0300-000002000000}" name="Management Action ID" dataDxfId="19"/>
    <tableColumn id="3" xr3:uid="{00000000-0010-0000-0300-000003000000}" name="Vendor ID" dataDxfId="18"/>
    <tableColumn id="4" xr3:uid="{00000000-0010-0000-0300-000004000000}" name="Vendor Name" dataDxfId="17"/>
    <tableColumn id="5" xr3:uid="{00000000-0010-0000-0300-000005000000}" name="Review Date" dataDxfId="16"/>
    <tableColumn id="6" xr3:uid="{00000000-0010-0000-0300-000006000000}" name="Previous Status" dataDxfId="15"/>
    <tableColumn id="7" xr3:uid="{00000000-0010-0000-0300-000007000000}" name="Current Status" dataDxfId="14"/>
    <tableColumn id="8" xr3:uid="{00000000-0010-0000-0300-000008000000}" name="Progress %" dataDxfId="13"/>
    <tableColumn id="9" xr3:uid="{00000000-0010-0000-0300-000009000000}" name="Target Date" dataDxfId="12"/>
    <tableColumn id="10" xr3:uid="{00000000-0010-0000-0300-00000A000000}" name="Days Overdue" dataDxfId="11"/>
    <tableColumn id="11" xr3:uid="{00000000-0010-0000-0300-00000B000000}" name="Risk Changed" dataDxfId="10"/>
    <tableColumn id="12" xr3:uid="{00000000-0010-0000-0300-00000C000000}" name="Incident / Change" dataDxfId="9"/>
    <tableColumn id="13" xr3:uid="{00000000-0010-0000-0300-00000D000000}" name="Blocker" dataDxfId="8"/>
    <tableColumn id="14" xr3:uid="{00000000-0010-0000-0300-00000E000000}" name="Decision" dataDxfId="7"/>
    <tableColumn id="15" xr3:uid="{00000000-0010-0000-0300-00000F000000}" name="Escalate Further" dataDxfId="6"/>
    <tableColumn id="16" xr3:uid="{00000000-0010-0000-0300-000010000000}" name="Reviewer" dataDxfId="5"/>
    <tableColumn id="17" xr3:uid="{00000000-0010-0000-0300-000011000000}" name="Evidence Reference" dataDxfId="4"/>
    <tableColumn id="18" xr3:uid="{00000000-0010-0000-0300-000012000000}" name="Comment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scalationSummary" displayName="EscalationSummary" ref="A1:C11">
  <autoFilter ref="A1:C11" xr:uid="{00000000-0009-0000-0100-000005000000}"/>
  <tableColumns count="3">
    <tableColumn id="1" xr3:uid="{00000000-0010-0000-0400-000001000000}" name="Metric" dataDxfId="2"/>
    <tableColumn id="2" xr3:uid="{00000000-0010-0000-0400-000002000000}" name="Value" dataDxfId="1"/>
    <tableColumn id="3" xr3:uid="{00000000-0010-0000-04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activeCell="B10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s="2" customFormat="1" ht="46.8" x14ac:dyDescent="0.3">
      <c r="A1" s="3" t="s">
        <v>0</v>
      </c>
      <c r="B1" s="4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ht="28.8" x14ac:dyDescent="0.3">
      <c r="A6" s="5" t="s">
        <v>10</v>
      </c>
      <c r="B6" s="5" t="s">
        <v>11</v>
      </c>
    </row>
    <row r="7" spans="1:2" ht="28.8" x14ac:dyDescent="0.3">
      <c r="A7" s="5" t="s">
        <v>12</v>
      </c>
      <c r="B7" s="5" t="s">
        <v>13</v>
      </c>
    </row>
    <row r="8" spans="1:2" ht="28.8" x14ac:dyDescent="0.3">
      <c r="A8" s="5" t="s">
        <v>14</v>
      </c>
      <c r="B8" s="5" t="s">
        <v>15</v>
      </c>
    </row>
    <row r="9" spans="1:2" x14ac:dyDescent="0.3">
      <c r="A9" s="5" t="s">
        <v>16</v>
      </c>
      <c r="B9" s="5" t="s">
        <v>17</v>
      </c>
    </row>
    <row r="10" spans="1:2" x14ac:dyDescent="0.3">
      <c r="A10" s="5" t="s">
        <v>18</v>
      </c>
      <c r="B10" s="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9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48" customHeight="1" x14ac:dyDescent="0.3">
      <c r="A1" s="6" t="s">
        <v>20</v>
      </c>
      <c r="B1" s="6" t="s">
        <v>21</v>
      </c>
    </row>
    <row r="2" spans="1:2" x14ac:dyDescent="0.3">
      <c r="A2" s="7" t="s">
        <v>22</v>
      </c>
      <c r="B2" s="7" t="s">
        <v>23</v>
      </c>
    </row>
    <row r="3" spans="1:2" x14ac:dyDescent="0.3">
      <c r="A3" s="7" t="s">
        <v>2</v>
      </c>
      <c r="B3" s="7" t="s">
        <v>3</v>
      </c>
    </row>
    <row r="4" spans="1:2" x14ac:dyDescent="0.3">
      <c r="A4" s="7" t="s">
        <v>4</v>
      </c>
      <c r="B4" s="7" t="s">
        <v>5</v>
      </c>
    </row>
    <row r="5" spans="1:2" x14ac:dyDescent="0.3">
      <c r="A5" s="7" t="s">
        <v>24</v>
      </c>
      <c r="B5" s="7" t="s">
        <v>1</v>
      </c>
    </row>
    <row r="6" spans="1:2" x14ac:dyDescent="0.3">
      <c r="A6" s="7" t="s">
        <v>6</v>
      </c>
      <c r="B6" s="7" t="s">
        <v>7</v>
      </c>
    </row>
    <row r="7" spans="1:2" x14ac:dyDescent="0.3">
      <c r="A7" s="7" t="s">
        <v>25</v>
      </c>
      <c r="B7" s="7" t="s">
        <v>26</v>
      </c>
    </row>
    <row r="8" spans="1:2" x14ac:dyDescent="0.3">
      <c r="A8" s="7" t="s">
        <v>27</v>
      </c>
      <c r="B8" s="7" t="s">
        <v>28</v>
      </c>
    </row>
    <row r="9" spans="1:2" x14ac:dyDescent="0.3">
      <c r="A9" s="7" t="s">
        <v>29</v>
      </c>
      <c r="B9" s="7" t="s">
        <v>30</v>
      </c>
    </row>
    <row r="10" spans="1:2" x14ac:dyDescent="0.3">
      <c r="A10" s="7" t="s">
        <v>31</v>
      </c>
      <c r="B10" s="7" t="s">
        <v>32</v>
      </c>
    </row>
    <row r="11" spans="1:2" x14ac:dyDescent="0.3">
      <c r="A11" s="7" t="s">
        <v>33</v>
      </c>
      <c r="B11" s="7" t="s">
        <v>34</v>
      </c>
    </row>
    <row r="12" spans="1:2" x14ac:dyDescent="0.3">
      <c r="A12" s="7" t="s">
        <v>8</v>
      </c>
      <c r="B12" s="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M31"/>
  <sheetViews>
    <sheetView showGridLines="0" workbookViewId="0">
      <pane ySplit="1" topLeftCell="A2" activePane="bottomLeft" state="frozen"/>
      <selection pane="bottomLeft" activeCell="D3" sqref="A2:AM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15" customWidth="1"/>
    <col min="5" max="5" width="18" customWidth="1"/>
    <col min="6" max="6" width="30" customWidth="1"/>
    <col min="7" max="7" width="60" customWidth="1"/>
    <col min="8" max="8" width="22" customWidth="1"/>
    <col min="9" max="10" width="28" customWidth="1"/>
    <col min="11" max="11" width="24" customWidth="1"/>
    <col min="12" max="12" width="55" customWidth="1"/>
    <col min="13" max="14" width="16" customWidth="1"/>
    <col min="15" max="15" width="35" customWidth="1"/>
    <col min="16" max="16" width="70" customWidth="1"/>
    <col min="17" max="18" width="24" customWidth="1"/>
    <col min="19" max="19" width="15" customWidth="1"/>
    <col min="20" max="20" width="16" customWidth="1"/>
    <col min="21" max="21" width="18" customWidth="1"/>
    <col min="22" max="22" width="14" customWidth="1"/>
    <col min="23" max="23" width="35" customWidth="1"/>
    <col min="24" max="25" width="22" customWidth="1"/>
    <col min="26" max="26" width="18" customWidth="1"/>
    <col min="27" max="28" width="45" customWidth="1"/>
    <col min="29" max="30" width="20" customWidth="1"/>
    <col min="31" max="31" width="16" customWidth="1"/>
    <col min="32" max="32" width="20" customWidth="1"/>
    <col min="33" max="33" width="25" customWidth="1"/>
    <col min="34" max="34" width="16" customWidth="1"/>
    <col min="35" max="35" width="65" customWidth="1"/>
    <col min="36" max="36" width="50" customWidth="1"/>
    <col min="37" max="37" width="16" customWidth="1"/>
    <col min="38" max="38" width="22" customWidth="1"/>
    <col min="39" max="39" width="60" customWidth="1"/>
  </cols>
  <sheetData>
    <row r="1" spans="1:39" ht="48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8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</row>
    <row r="2" spans="1:39" ht="100.05" customHeight="1" x14ac:dyDescent="0.3">
      <c r="A2" s="5" t="s">
        <v>74</v>
      </c>
      <c r="B2" s="5" t="s">
        <v>75</v>
      </c>
      <c r="C2" s="5" t="s">
        <v>76</v>
      </c>
      <c r="D2" s="5" t="s">
        <v>77</v>
      </c>
      <c r="E2" s="5" t="s">
        <v>78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85</v>
      </c>
      <c r="O2" s="5" t="s">
        <v>86</v>
      </c>
      <c r="P2" s="5" t="s">
        <v>87</v>
      </c>
      <c r="Q2" s="5" t="s">
        <v>88</v>
      </c>
      <c r="R2" s="5" t="s">
        <v>89</v>
      </c>
      <c r="S2" s="5" t="s">
        <v>90</v>
      </c>
      <c r="T2" s="5" t="s">
        <v>91</v>
      </c>
      <c r="U2" s="5" t="s">
        <v>92</v>
      </c>
      <c r="V2" s="5">
        <v>0</v>
      </c>
      <c r="W2" s="5" t="s">
        <v>93</v>
      </c>
      <c r="X2" s="5" t="s">
        <v>94</v>
      </c>
      <c r="Y2" s="5" t="s">
        <v>95</v>
      </c>
      <c r="Z2" s="5" t="s">
        <v>96</v>
      </c>
      <c r="AA2" s="5" t="s">
        <v>97</v>
      </c>
      <c r="AB2" s="5"/>
      <c r="AC2" s="5" t="s">
        <v>98</v>
      </c>
      <c r="AD2" s="5" t="s">
        <v>86</v>
      </c>
      <c r="AE2" s="5">
        <v>0</v>
      </c>
      <c r="AF2" s="5" t="s">
        <v>99</v>
      </c>
      <c r="AG2" s="5" t="s">
        <v>100</v>
      </c>
      <c r="AH2" s="5"/>
      <c r="AI2" s="5" t="s">
        <v>86</v>
      </c>
      <c r="AJ2" s="5" t="s">
        <v>86</v>
      </c>
      <c r="AK2" s="5"/>
      <c r="AL2" s="5" t="s">
        <v>86</v>
      </c>
      <c r="AM2" s="5" t="s">
        <v>101</v>
      </c>
    </row>
    <row r="3" spans="1:39" ht="100.05" customHeight="1" x14ac:dyDescent="0.3">
      <c r="A3" s="5" t="s">
        <v>102</v>
      </c>
      <c r="B3" s="5" t="s">
        <v>103</v>
      </c>
      <c r="C3" s="5" t="s">
        <v>104</v>
      </c>
      <c r="D3" s="5" t="s">
        <v>105</v>
      </c>
      <c r="E3" s="5" t="s">
        <v>78</v>
      </c>
      <c r="F3" s="5" t="s">
        <v>106</v>
      </c>
      <c r="G3" s="5" t="s">
        <v>80</v>
      </c>
      <c r="H3" s="5" t="s">
        <v>107</v>
      </c>
      <c r="I3" s="5" t="s">
        <v>82</v>
      </c>
      <c r="J3" s="5" t="s">
        <v>82</v>
      </c>
      <c r="K3" s="5" t="s">
        <v>83</v>
      </c>
      <c r="L3" s="5" t="s">
        <v>84</v>
      </c>
      <c r="M3" s="5" t="s">
        <v>85</v>
      </c>
      <c r="N3" s="5" t="s">
        <v>85</v>
      </c>
      <c r="O3" s="5" t="s">
        <v>86</v>
      </c>
      <c r="P3" s="5" t="s">
        <v>87</v>
      </c>
      <c r="Q3" s="5" t="s">
        <v>88</v>
      </c>
      <c r="R3" s="5" t="s">
        <v>89</v>
      </c>
      <c r="S3" s="5" t="s">
        <v>90</v>
      </c>
      <c r="T3" s="5" t="s">
        <v>91</v>
      </c>
      <c r="U3" s="5" t="s">
        <v>92</v>
      </c>
      <c r="V3" s="5">
        <v>0</v>
      </c>
      <c r="W3" s="5" t="s">
        <v>93</v>
      </c>
      <c r="X3" s="5" t="s">
        <v>108</v>
      </c>
      <c r="Y3" s="5" t="s">
        <v>109</v>
      </c>
      <c r="Z3" s="5" t="s">
        <v>110</v>
      </c>
      <c r="AA3" s="5" t="s">
        <v>97</v>
      </c>
      <c r="AB3" s="5"/>
      <c r="AC3" s="5" t="s">
        <v>98</v>
      </c>
      <c r="AD3" s="5" t="s">
        <v>86</v>
      </c>
      <c r="AE3" s="5">
        <v>0</v>
      </c>
      <c r="AF3" s="5" t="s">
        <v>99</v>
      </c>
      <c r="AG3" s="5" t="s">
        <v>100</v>
      </c>
      <c r="AH3" s="5"/>
      <c r="AI3" s="5" t="s">
        <v>86</v>
      </c>
      <c r="AJ3" s="5" t="s">
        <v>86</v>
      </c>
      <c r="AK3" s="5"/>
      <c r="AL3" s="5" t="s">
        <v>86</v>
      </c>
      <c r="AM3" s="5" t="s">
        <v>101</v>
      </c>
    </row>
    <row r="4" spans="1:39" ht="100.05" customHeight="1" x14ac:dyDescent="0.3">
      <c r="A4" s="5" t="s">
        <v>111</v>
      </c>
      <c r="B4" s="5" t="s">
        <v>112</v>
      </c>
      <c r="C4" s="5" t="s">
        <v>113</v>
      </c>
      <c r="D4" s="5" t="s">
        <v>77</v>
      </c>
      <c r="E4" s="5" t="s">
        <v>78</v>
      </c>
      <c r="F4" s="5" t="s">
        <v>114</v>
      </c>
      <c r="G4" s="5" t="s">
        <v>80</v>
      </c>
      <c r="H4" s="5" t="s">
        <v>115</v>
      </c>
      <c r="I4" s="5" t="s">
        <v>82</v>
      </c>
      <c r="J4" s="5" t="s">
        <v>82</v>
      </c>
      <c r="K4" s="5" t="s">
        <v>83</v>
      </c>
      <c r="L4" s="5" t="s">
        <v>84</v>
      </c>
      <c r="M4" s="5" t="s">
        <v>85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>
        <v>0</v>
      </c>
      <c r="W4" s="5" t="s">
        <v>93</v>
      </c>
      <c r="X4" s="5" t="s">
        <v>116</v>
      </c>
      <c r="Y4" s="5" t="s">
        <v>117</v>
      </c>
      <c r="Z4" s="5" t="s">
        <v>118</v>
      </c>
      <c r="AA4" s="5" t="s">
        <v>97</v>
      </c>
      <c r="AB4" s="5"/>
      <c r="AC4" s="5" t="s">
        <v>98</v>
      </c>
      <c r="AD4" s="5" t="s">
        <v>86</v>
      </c>
      <c r="AE4" s="5">
        <v>0</v>
      </c>
      <c r="AF4" s="5" t="s">
        <v>99</v>
      </c>
      <c r="AG4" s="5" t="s">
        <v>100</v>
      </c>
      <c r="AH4" s="5"/>
      <c r="AI4" s="5" t="s">
        <v>86</v>
      </c>
      <c r="AJ4" s="5" t="s">
        <v>86</v>
      </c>
      <c r="AK4" s="5"/>
      <c r="AL4" s="5" t="s">
        <v>86</v>
      </c>
      <c r="AM4" s="5" t="s">
        <v>101</v>
      </c>
    </row>
    <row r="5" spans="1:39" ht="100.05" customHeight="1" x14ac:dyDescent="0.3">
      <c r="A5" s="5" t="s">
        <v>119</v>
      </c>
      <c r="B5" s="5" t="s">
        <v>120</v>
      </c>
      <c r="C5" s="5" t="s">
        <v>121</v>
      </c>
      <c r="D5" s="5" t="s">
        <v>105</v>
      </c>
      <c r="E5" s="5" t="s">
        <v>78</v>
      </c>
      <c r="F5" s="5" t="s">
        <v>122</v>
      </c>
      <c r="G5" s="5" t="s">
        <v>80</v>
      </c>
      <c r="H5" s="5" t="s">
        <v>123</v>
      </c>
      <c r="I5" s="5" t="s">
        <v>82</v>
      </c>
      <c r="J5" s="5" t="s">
        <v>82</v>
      </c>
      <c r="K5" s="5" t="s">
        <v>83</v>
      </c>
      <c r="L5" s="5" t="s">
        <v>84</v>
      </c>
      <c r="M5" s="5" t="s">
        <v>85</v>
      </c>
      <c r="N5" s="5" t="s">
        <v>85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91</v>
      </c>
      <c r="U5" s="5" t="s">
        <v>92</v>
      </c>
      <c r="V5" s="5">
        <v>0</v>
      </c>
      <c r="W5" s="5" t="s">
        <v>93</v>
      </c>
      <c r="X5" s="5" t="s">
        <v>124</v>
      </c>
      <c r="Y5" s="5" t="s">
        <v>125</v>
      </c>
      <c r="Z5" s="5" t="s">
        <v>126</v>
      </c>
      <c r="AA5" s="5" t="s">
        <v>97</v>
      </c>
      <c r="AB5" s="5"/>
      <c r="AC5" s="5" t="s">
        <v>98</v>
      </c>
      <c r="AD5" s="5" t="s">
        <v>86</v>
      </c>
      <c r="AE5" s="5">
        <v>0</v>
      </c>
      <c r="AF5" s="5" t="s">
        <v>99</v>
      </c>
      <c r="AG5" s="5" t="s">
        <v>100</v>
      </c>
      <c r="AH5" s="5"/>
      <c r="AI5" s="5" t="s">
        <v>86</v>
      </c>
      <c r="AJ5" s="5" t="s">
        <v>86</v>
      </c>
      <c r="AK5" s="5"/>
      <c r="AL5" s="5" t="s">
        <v>86</v>
      </c>
      <c r="AM5" s="5" t="s">
        <v>101</v>
      </c>
    </row>
    <row r="6" spans="1:39" ht="100.05" customHeight="1" x14ac:dyDescent="0.3">
      <c r="A6" s="5" t="s">
        <v>127</v>
      </c>
      <c r="B6" s="5" t="s">
        <v>128</v>
      </c>
      <c r="C6" s="5" t="s">
        <v>129</v>
      </c>
      <c r="D6" s="5" t="s">
        <v>105</v>
      </c>
      <c r="E6" s="5" t="s">
        <v>78</v>
      </c>
      <c r="F6" s="5" t="s">
        <v>130</v>
      </c>
      <c r="G6" s="5" t="s">
        <v>80</v>
      </c>
      <c r="H6" s="5" t="s">
        <v>131</v>
      </c>
      <c r="I6" s="5" t="s">
        <v>82</v>
      </c>
      <c r="J6" s="5" t="s">
        <v>82</v>
      </c>
      <c r="K6" s="5" t="s">
        <v>83</v>
      </c>
      <c r="L6" s="5" t="s">
        <v>84</v>
      </c>
      <c r="M6" s="5" t="s">
        <v>85</v>
      </c>
      <c r="N6" s="5" t="s">
        <v>85</v>
      </c>
      <c r="O6" s="5" t="s">
        <v>86</v>
      </c>
      <c r="P6" s="5" t="s">
        <v>87</v>
      </c>
      <c r="Q6" s="5" t="s">
        <v>88</v>
      </c>
      <c r="R6" s="5" t="s">
        <v>89</v>
      </c>
      <c r="S6" s="5" t="s">
        <v>90</v>
      </c>
      <c r="T6" s="5" t="s">
        <v>91</v>
      </c>
      <c r="U6" s="5" t="s">
        <v>92</v>
      </c>
      <c r="V6" s="5">
        <v>0</v>
      </c>
      <c r="W6" s="5" t="s">
        <v>93</v>
      </c>
      <c r="X6" s="5" t="s">
        <v>132</v>
      </c>
      <c r="Y6" s="5" t="s">
        <v>133</v>
      </c>
      <c r="Z6" s="5" t="s">
        <v>134</v>
      </c>
      <c r="AA6" s="5" t="s">
        <v>97</v>
      </c>
      <c r="AB6" s="5"/>
      <c r="AC6" s="5" t="s">
        <v>98</v>
      </c>
      <c r="AD6" s="5" t="s">
        <v>86</v>
      </c>
      <c r="AE6" s="5">
        <v>0</v>
      </c>
      <c r="AF6" s="5" t="s">
        <v>99</v>
      </c>
      <c r="AG6" s="5" t="s">
        <v>100</v>
      </c>
      <c r="AH6" s="5"/>
      <c r="AI6" s="5" t="s">
        <v>86</v>
      </c>
      <c r="AJ6" s="5" t="s">
        <v>86</v>
      </c>
      <c r="AK6" s="5"/>
      <c r="AL6" s="5" t="s">
        <v>86</v>
      </c>
      <c r="AM6" s="5" t="s">
        <v>101</v>
      </c>
    </row>
    <row r="7" spans="1:39" ht="100.05" customHeight="1" x14ac:dyDescent="0.3">
      <c r="A7" s="5" t="s">
        <v>135</v>
      </c>
      <c r="B7" s="5" t="s">
        <v>136</v>
      </c>
      <c r="C7" s="5" t="s">
        <v>137</v>
      </c>
      <c r="D7" s="5" t="s">
        <v>105</v>
      </c>
      <c r="E7" s="5" t="s">
        <v>78</v>
      </c>
      <c r="F7" s="5" t="s">
        <v>138</v>
      </c>
      <c r="G7" s="5" t="s">
        <v>80</v>
      </c>
      <c r="H7" s="5" t="s">
        <v>139</v>
      </c>
      <c r="I7" s="5" t="s">
        <v>82</v>
      </c>
      <c r="J7" s="5" t="s">
        <v>82</v>
      </c>
      <c r="K7" s="5" t="s">
        <v>83</v>
      </c>
      <c r="L7" s="5" t="s">
        <v>84</v>
      </c>
      <c r="M7" s="5" t="s">
        <v>85</v>
      </c>
      <c r="N7" s="5" t="s">
        <v>85</v>
      </c>
      <c r="O7" s="5" t="s">
        <v>86</v>
      </c>
      <c r="P7" s="5" t="s">
        <v>87</v>
      </c>
      <c r="Q7" s="5" t="s">
        <v>88</v>
      </c>
      <c r="R7" s="5" t="s">
        <v>89</v>
      </c>
      <c r="S7" s="5" t="s">
        <v>90</v>
      </c>
      <c r="T7" s="5" t="s">
        <v>91</v>
      </c>
      <c r="U7" s="5" t="s">
        <v>92</v>
      </c>
      <c r="V7" s="5">
        <v>0</v>
      </c>
      <c r="W7" s="5" t="s">
        <v>93</v>
      </c>
      <c r="X7" s="5" t="s">
        <v>140</v>
      </c>
      <c r="Y7" s="5" t="s">
        <v>141</v>
      </c>
      <c r="Z7" s="5" t="s">
        <v>142</v>
      </c>
      <c r="AA7" s="5" t="s">
        <v>97</v>
      </c>
      <c r="AB7" s="5"/>
      <c r="AC7" s="5" t="s">
        <v>98</v>
      </c>
      <c r="AD7" s="5" t="s">
        <v>86</v>
      </c>
      <c r="AE7" s="5">
        <v>0</v>
      </c>
      <c r="AF7" s="5" t="s">
        <v>99</v>
      </c>
      <c r="AG7" s="5" t="s">
        <v>100</v>
      </c>
      <c r="AH7" s="5"/>
      <c r="AI7" s="5" t="s">
        <v>86</v>
      </c>
      <c r="AJ7" s="5" t="s">
        <v>86</v>
      </c>
      <c r="AK7" s="5"/>
      <c r="AL7" s="5" t="s">
        <v>86</v>
      </c>
      <c r="AM7" s="5" t="s">
        <v>101</v>
      </c>
    </row>
    <row r="8" spans="1:39" ht="100.05" customHeight="1" x14ac:dyDescent="0.3">
      <c r="A8" s="5" t="s">
        <v>143</v>
      </c>
      <c r="B8" s="5" t="s">
        <v>144</v>
      </c>
      <c r="C8" s="5" t="s">
        <v>145</v>
      </c>
      <c r="D8" s="5" t="s">
        <v>77</v>
      </c>
      <c r="E8" s="5" t="s">
        <v>78</v>
      </c>
      <c r="F8" s="5" t="s">
        <v>146</v>
      </c>
      <c r="G8" s="5" t="s">
        <v>80</v>
      </c>
      <c r="H8" s="5" t="s">
        <v>147</v>
      </c>
      <c r="I8" s="5" t="s">
        <v>82</v>
      </c>
      <c r="J8" s="5" t="s">
        <v>82</v>
      </c>
      <c r="K8" s="5" t="s">
        <v>83</v>
      </c>
      <c r="L8" s="5" t="s">
        <v>84</v>
      </c>
      <c r="M8" s="5" t="s">
        <v>85</v>
      </c>
      <c r="N8" s="5" t="s">
        <v>85</v>
      </c>
      <c r="O8" s="5" t="s">
        <v>86</v>
      </c>
      <c r="P8" s="5" t="s">
        <v>87</v>
      </c>
      <c r="Q8" s="5" t="s">
        <v>88</v>
      </c>
      <c r="R8" s="5" t="s">
        <v>89</v>
      </c>
      <c r="S8" s="5" t="s">
        <v>90</v>
      </c>
      <c r="T8" s="5" t="s">
        <v>91</v>
      </c>
      <c r="U8" s="5" t="s">
        <v>92</v>
      </c>
      <c r="V8" s="5">
        <v>0</v>
      </c>
      <c r="W8" s="5" t="s">
        <v>93</v>
      </c>
      <c r="X8" s="5" t="s">
        <v>148</v>
      </c>
      <c r="Y8" s="5" t="s">
        <v>149</v>
      </c>
      <c r="Z8" s="5" t="s">
        <v>150</v>
      </c>
      <c r="AA8" s="5" t="s">
        <v>97</v>
      </c>
      <c r="AB8" s="5"/>
      <c r="AC8" s="5" t="s">
        <v>98</v>
      </c>
      <c r="AD8" s="5" t="s">
        <v>86</v>
      </c>
      <c r="AE8" s="5">
        <v>0</v>
      </c>
      <c r="AF8" s="5" t="s">
        <v>99</v>
      </c>
      <c r="AG8" s="5" t="s">
        <v>100</v>
      </c>
      <c r="AH8" s="5"/>
      <c r="AI8" s="5" t="s">
        <v>86</v>
      </c>
      <c r="AJ8" s="5" t="s">
        <v>86</v>
      </c>
      <c r="AK8" s="5"/>
      <c r="AL8" s="5" t="s">
        <v>86</v>
      </c>
      <c r="AM8" s="5" t="s">
        <v>101</v>
      </c>
    </row>
    <row r="9" spans="1:39" ht="100.05" customHeight="1" x14ac:dyDescent="0.3">
      <c r="A9" s="5" t="s">
        <v>151</v>
      </c>
      <c r="B9" s="5" t="s">
        <v>152</v>
      </c>
      <c r="C9" s="5" t="s">
        <v>153</v>
      </c>
      <c r="D9" s="5" t="s">
        <v>105</v>
      </c>
      <c r="E9" s="5" t="s">
        <v>78</v>
      </c>
      <c r="F9" s="5" t="s">
        <v>154</v>
      </c>
      <c r="G9" s="5" t="s">
        <v>80</v>
      </c>
      <c r="H9" s="5" t="s">
        <v>155</v>
      </c>
      <c r="I9" s="5" t="s">
        <v>82</v>
      </c>
      <c r="J9" s="5" t="s">
        <v>82</v>
      </c>
      <c r="K9" s="5" t="s">
        <v>83</v>
      </c>
      <c r="L9" s="5" t="s">
        <v>84</v>
      </c>
      <c r="M9" s="5" t="s">
        <v>85</v>
      </c>
      <c r="N9" s="5" t="s">
        <v>85</v>
      </c>
      <c r="O9" s="5" t="s">
        <v>86</v>
      </c>
      <c r="P9" s="5" t="s">
        <v>87</v>
      </c>
      <c r="Q9" s="5" t="s">
        <v>88</v>
      </c>
      <c r="R9" s="5" t="s">
        <v>89</v>
      </c>
      <c r="S9" s="5" t="s">
        <v>90</v>
      </c>
      <c r="T9" s="5" t="s">
        <v>91</v>
      </c>
      <c r="U9" s="5" t="s">
        <v>92</v>
      </c>
      <c r="V9" s="5">
        <v>0</v>
      </c>
      <c r="W9" s="5" t="s">
        <v>93</v>
      </c>
      <c r="X9" s="5" t="s">
        <v>156</v>
      </c>
      <c r="Y9" s="5" t="s">
        <v>157</v>
      </c>
      <c r="Z9" s="5" t="s">
        <v>158</v>
      </c>
      <c r="AA9" s="5" t="s">
        <v>97</v>
      </c>
      <c r="AB9" s="5"/>
      <c r="AC9" s="5" t="s">
        <v>98</v>
      </c>
      <c r="AD9" s="5" t="s">
        <v>86</v>
      </c>
      <c r="AE9" s="5">
        <v>0</v>
      </c>
      <c r="AF9" s="5" t="s">
        <v>99</v>
      </c>
      <c r="AG9" s="5" t="s">
        <v>100</v>
      </c>
      <c r="AH9" s="5"/>
      <c r="AI9" s="5" t="s">
        <v>86</v>
      </c>
      <c r="AJ9" s="5" t="s">
        <v>86</v>
      </c>
      <c r="AK9" s="5"/>
      <c r="AL9" s="5" t="s">
        <v>86</v>
      </c>
      <c r="AM9" s="5" t="s">
        <v>101</v>
      </c>
    </row>
    <row r="10" spans="1:39" ht="100.05" customHeight="1" x14ac:dyDescent="0.3">
      <c r="A10" s="5" t="s">
        <v>159</v>
      </c>
      <c r="B10" s="5" t="s">
        <v>160</v>
      </c>
      <c r="C10" s="5" t="s">
        <v>161</v>
      </c>
      <c r="D10" s="5" t="s">
        <v>77</v>
      </c>
      <c r="E10" s="5" t="s">
        <v>78</v>
      </c>
      <c r="F10" s="5" t="s">
        <v>162</v>
      </c>
      <c r="G10" s="5" t="s">
        <v>80</v>
      </c>
      <c r="H10" s="5" t="s">
        <v>163</v>
      </c>
      <c r="I10" s="5" t="s">
        <v>82</v>
      </c>
      <c r="J10" s="5" t="s">
        <v>82</v>
      </c>
      <c r="K10" s="5" t="s">
        <v>83</v>
      </c>
      <c r="L10" s="5" t="s">
        <v>84</v>
      </c>
      <c r="M10" s="5" t="s">
        <v>85</v>
      </c>
      <c r="N10" s="5" t="s">
        <v>85</v>
      </c>
      <c r="O10" s="5" t="s">
        <v>86</v>
      </c>
      <c r="P10" s="5" t="s">
        <v>87</v>
      </c>
      <c r="Q10" s="5" t="s">
        <v>88</v>
      </c>
      <c r="R10" s="5" t="s">
        <v>89</v>
      </c>
      <c r="S10" s="5" t="s">
        <v>90</v>
      </c>
      <c r="T10" s="5" t="s">
        <v>91</v>
      </c>
      <c r="U10" s="5" t="s">
        <v>92</v>
      </c>
      <c r="V10" s="5">
        <v>0</v>
      </c>
      <c r="W10" s="5" t="s">
        <v>93</v>
      </c>
      <c r="X10" s="5" t="s">
        <v>164</v>
      </c>
      <c r="Y10" s="5" t="s">
        <v>165</v>
      </c>
      <c r="Z10" s="5" t="s">
        <v>166</v>
      </c>
      <c r="AA10" s="5" t="s">
        <v>97</v>
      </c>
      <c r="AB10" s="5"/>
      <c r="AC10" s="5" t="s">
        <v>98</v>
      </c>
      <c r="AD10" s="5" t="s">
        <v>86</v>
      </c>
      <c r="AE10" s="5">
        <v>0</v>
      </c>
      <c r="AF10" s="5" t="s">
        <v>99</v>
      </c>
      <c r="AG10" s="5" t="s">
        <v>100</v>
      </c>
      <c r="AH10" s="5"/>
      <c r="AI10" s="5" t="s">
        <v>86</v>
      </c>
      <c r="AJ10" s="5" t="s">
        <v>86</v>
      </c>
      <c r="AK10" s="5"/>
      <c r="AL10" s="5" t="s">
        <v>86</v>
      </c>
      <c r="AM10" s="5" t="s">
        <v>101</v>
      </c>
    </row>
    <row r="11" spans="1:39" ht="100.05" customHeight="1" x14ac:dyDescent="0.3">
      <c r="A11" s="5" t="s">
        <v>167</v>
      </c>
      <c r="B11" s="5" t="s">
        <v>168</v>
      </c>
      <c r="C11" s="5" t="s">
        <v>169</v>
      </c>
      <c r="D11" s="5" t="s">
        <v>105</v>
      </c>
      <c r="E11" s="5" t="s">
        <v>78</v>
      </c>
      <c r="F11" s="5" t="s">
        <v>170</v>
      </c>
      <c r="G11" s="5" t="s">
        <v>80</v>
      </c>
      <c r="H11" s="5" t="s">
        <v>171</v>
      </c>
      <c r="I11" s="5" t="s">
        <v>82</v>
      </c>
      <c r="J11" s="5" t="s">
        <v>82</v>
      </c>
      <c r="K11" s="5" t="s">
        <v>83</v>
      </c>
      <c r="L11" s="5" t="s">
        <v>84</v>
      </c>
      <c r="M11" s="5" t="s">
        <v>85</v>
      </c>
      <c r="N11" s="5" t="s">
        <v>85</v>
      </c>
      <c r="O11" s="5" t="s">
        <v>86</v>
      </c>
      <c r="P11" s="5" t="s">
        <v>87</v>
      </c>
      <c r="Q11" s="5" t="s">
        <v>88</v>
      </c>
      <c r="R11" s="5" t="s">
        <v>89</v>
      </c>
      <c r="S11" s="5" t="s">
        <v>90</v>
      </c>
      <c r="T11" s="5" t="s">
        <v>91</v>
      </c>
      <c r="U11" s="5" t="s">
        <v>92</v>
      </c>
      <c r="V11" s="5">
        <v>0</v>
      </c>
      <c r="W11" s="5" t="s">
        <v>93</v>
      </c>
      <c r="X11" s="5" t="s">
        <v>172</v>
      </c>
      <c r="Y11" s="5" t="s">
        <v>173</v>
      </c>
      <c r="Z11" s="5" t="s">
        <v>174</v>
      </c>
      <c r="AA11" s="5" t="s">
        <v>97</v>
      </c>
      <c r="AB11" s="5"/>
      <c r="AC11" s="5" t="s">
        <v>98</v>
      </c>
      <c r="AD11" s="5" t="s">
        <v>86</v>
      </c>
      <c r="AE11" s="5">
        <v>0</v>
      </c>
      <c r="AF11" s="5" t="s">
        <v>99</v>
      </c>
      <c r="AG11" s="5" t="s">
        <v>100</v>
      </c>
      <c r="AH11" s="5"/>
      <c r="AI11" s="5" t="s">
        <v>86</v>
      </c>
      <c r="AJ11" s="5" t="s">
        <v>86</v>
      </c>
      <c r="AK11" s="5"/>
      <c r="AL11" s="5" t="s">
        <v>86</v>
      </c>
      <c r="AM11" s="5" t="s">
        <v>101</v>
      </c>
    </row>
    <row r="12" spans="1:39" ht="100.05" customHeight="1" x14ac:dyDescent="0.3">
      <c r="A12" s="5" t="s">
        <v>175</v>
      </c>
      <c r="B12" s="5" t="s">
        <v>176</v>
      </c>
      <c r="C12" s="5" t="s">
        <v>177</v>
      </c>
      <c r="D12" s="5" t="s">
        <v>77</v>
      </c>
      <c r="E12" s="5" t="s">
        <v>78</v>
      </c>
      <c r="F12" s="5" t="s">
        <v>79</v>
      </c>
      <c r="G12" s="5" t="s">
        <v>80</v>
      </c>
      <c r="H12" s="5" t="s">
        <v>178</v>
      </c>
      <c r="I12" s="5" t="s">
        <v>82</v>
      </c>
      <c r="J12" s="5" t="s">
        <v>82</v>
      </c>
      <c r="K12" s="5" t="s">
        <v>83</v>
      </c>
      <c r="L12" s="5" t="s">
        <v>84</v>
      </c>
      <c r="M12" s="5" t="s">
        <v>85</v>
      </c>
      <c r="N12" s="5" t="s">
        <v>85</v>
      </c>
      <c r="O12" s="5" t="s">
        <v>86</v>
      </c>
      <c r="P12" s="5" t="s">
        <v>87</v>
      </c>
      <c r="Q12" s="5" t="s">
        <v>88</v>
      </c>
      <c r="R12" s="5" t="s">
        <v>89</v>
      </c>
      <c r="S12" s="5" t="s">
        <v>90</v>
      </c>
      <c r="T12" s="5" t="s">
        <v>91</v>
      </c>
      <c r="U12" s="5" t="s">
        <v>92</v>
      </c>
      <c r="V12" s="5">
        <v>0</v>
      </c>
      <c r="W12" s="5" t="s">
        <v>93</v>
      </c>
      <c r="X12" s="5" t="s">
        <v>179</v>
      </c>
      <c r="Y12" s="5" t="s">
        <v>180</v>
      </c>
      <c r="Z12" s="5" t="s">
        <v>181</v>
      </c>
      <c r="AA12" s="5" t="s">
        <v>97</v>
      </c>
      <c r="AB12" s="5"/>
      <c r="AC12" s="5" t="s">
        <v>98</v>
      </c>
      <c r="AD12" s="5" t="s">
        <v>86</v>
      </c>
      <c r="AE12" s="5">
        <v>0</v>
      </c>
      <c r="AF12" s="5" t="s">
        <v>99</v>
      </c>
      <c r="AG12" s="5" t="s">
        <v>100</v>
      </c>
      <c r="AH12" s="5"/>
      <c r="AI12" s="5" t="s">
        <v>86</v>
      </c>
      <c r="AJ12" s="5" t="s">
        <v>86</v>
      </c>
      <c r="AK12" s="5"/>
      <c r="AL12" s="5" t="s">
        <v>86</v>
      </c>
      <c r="AM12" s="5" t="s">
        <v>101</v>
      </c>
    </row>
    <row r="13" spans="1:39" ht="100.05" customHeight="1" x14ac:dyDescent="0.3">
      <c r="A13" s="5" t="s">
        <v>182</v>
      </c>
      <c r="B13" s="5" t="s">
        <v>183</v>
      </c>
      <c r="C13" s="5" t="s">
        <v>184</v>
      </c>
      <c r="D13" s="5" t="s">
        <v>105</v>
      </c>
      <c r="E13" s="5" t="s">
        <v>78</v>
      </c>
      <c r="F13" s="5" t="s">
        <v>106</v>
      </c>
      <c r="G13" s="5" t="s">
        <v>80</v>
      </c>
      <c r="H13" s="5" t="s">
        <v>185</v>
      </c>
      <c r="I13" s="5" t="s">
        <v>82</v>
      </c>
      <c r="J13" s="5" t="s">
        <v>82</v>
      </c>
      <c r="K13" s="5" t="s">
        <v>83</v>
      </c>
      <c r="L13" s="5" t="s">
        <v>84</v>
      </c>
      <c r="M13" s="5" t="s">
        <v>85</v>
      </c>
      <c r="N13" s="5" t="s">
        <v>85</v>
      </c>
      <c r="O13" s="5" t="s">
        <v>86</v>
      </c>
      <c r="P13" s="5" t="s">
        <v>87</v>
      </c>
      <c r="Q13" s="5" t="s">
        <v>88</v>
      </c>
      <c r="R13" s="5" t="s">
        <v>89</v>
      </c>
      <c r="S13" s="5" t="s">
        <v>90</v>
      </c>
      <c r="T13" s="5" t="s">
        <v>91</v>
      </c>
      <c r="U13" s="5" t="s">
        <v>92</v>
      </c>
      <c r="V13" s="5">
        <v>0</v>
      </c>
      <c r="W13" s="5" t="s">
        <v>93</v>
      </c>
      <c r="X13" s="5" t="s">
        <v>186</v>
      </c>
      <c r="Y13" s="5" t="s">
        <v>187</v>
      </c>
      <c r="Z13" s="5" t="s">
        <v>188</v>
      </c>
      <c r="AA13" s="5" t="s">
        <v>97</v>
      </c>
      <c r="AB13" s="5"/>
      <c r="AC13" s="5" t="s">
        <v>98</v>
      </c>
      <c r="AD13" s="5" t="s">
        <v>86</v>
      </c>
      <c r="AE13" s="5">
        <v>0</v>
      </c>
      <c r="AF13" s="5" t="s">
        <v>99</v>
      </c>
      <c r="AG13" s="5" t="s">
        <v>100</v>
      </c>
      <c r="AH13" s="5"/>
      <c r="AI13" s="5" t="s">
        <v>86</v>
      </c>
      <c r="AJ13" s="5" t="s">
        <v>86</v>
      </c>
      <c r="AK13" s="5"/>
      <c r="AL13" s="5" t="s">
        <v>86</v>
      </c>
      <c r="AM13" s="5" t="s">
        <v>101</v>
      </c>
    </row>
    <row r="14" spans="1:39" ht="100.05" customHeight="1" x14ac:dyDescent="0.3">
      <c r="A14" s="5" t="s">
        <v>189</v>
      </c>
      <c r="B14" s="5" t="s">
        <v>190</v>
      </c>
      <c r="C14" s="5" t="s">
        <v>191</v>
      </c>
      <c r="D14" s="5" t="s">
        <v>105</v>
      </c>
      <c r="E14" s="5" t="s">
        <v>78</v>
      </c>
      <c r="F14" s="5" t="s">
        <v>114</v>
      </c>
      <c r="G14" s="5" t="s">
        <v>80</v>
      </c>
      <c r="H14" s="5" t="s">
        <v>192</v>
      </c>
      <c r="I14" s="5" t="s">
        <v>82</v>
      </c>
      <c r="J14" s="5" t="s">
        <v>82</v>
      </c>
      <c r="K14" s="5" t="s">
        <v>83</v>
      </c>
      <c r="L14" s="5" t="s">
        <v>84</v>
      </c>
      <c r="M14" s="5" t="s">
        <v>85</v>
      </c>
      <c r="N14" s="5" t="s">
        <v>85</v>
      </c>
      <c r="O14" s="5" t="s">
        <v>86</v>
      </c>
      <c r="P14" s="5" t="s">
        <v>87</v>
      </c>
      <c r="Q14" s="5" t="s">
        <v>88</v>
      </c>
      <c r="R14" s="5" t="s">
        <v>89</v>
      </c>
      <c r="S14" s="5" t="s">
        <v>90</v>
      </c>
      <c r="T14" s="5" t="s">
        <v>91</v>
      </c>
      <c r="U14" s="5" t="s">
        <v>92</v>
      </c>
      <c r="V14" s="5">
        <v>0</v>
      </c>
      <c r="W14" s="5" t="s">
        <v>93</v>
      </c>
      <c r="X14" s="5" t="s">
        <v>193</v>
      </c>
      <c r="Y14" s="5" t="s">
        <v>194</v>
      </c>
      <c r="Z14" s="5" t="s">
        <v>195</v>
      </c>
      <c r="AA14" s="5" t="s">
        <v>97</v>
      </c>
      <c r="AB14" s="5"/>
      <c r="AC14" s="5" t="s">
        <v>98</v>
      </c>
      <c r="AD14" s="5" t="s">
        <v>86</v>
      </c>
      <c r="AE14" s="5">
        <v>0</v>
      </c>
      <c r="AF14" s="5" t="s">
        <v>99</v>
      </c>
      <c r="AG14" s="5" t="s">
        <v>100</v>
      </c>
      <c r="AH14" s="5"/>
      <c r="AI14" s="5" t="s">
        <v>86</v>
      </c>
      <c r="AJ14" s="5" t="s">
        <v>86</v>
      </c>
      <c r="AK14" s="5"/>
      <c r="AL14" s="5" t="s">
        <v>86</v>
      </c>
      <c r="AM14" s="5" t="s">
        <v>101</v>
      </c>
    </row>
    <row r="15" spans="1:39" ht="100.05" customHeight="1" x14ac:dyDescent="0.3">
      <c r="A15" s="5" t="s">
        <v>196</v>
      </c>
      <c r="B15" s="5" t="s">
        <v>197</v>
      </c>
      <c r="C15" s="5" t="s">
        <v>198</v>
      </c>
      <c r="D15" s="5" t="s">
        <v>77</v>
      </c>
      <c r="E15" s="5" t="s">
        <v>78</v>
      </c>
      <c r="F15" s="5" t="s">
        <v>122</v>
      </c>
      <c r="G15" s="5" t="s">
        <v>80</v>
      </c>
      <c r="H15" s="5" t="s">
        <v>199</v>
      </c>
      <c r="I15" s="5" t="s">
        <v>82</v>
      </c>
      <c r="J15" s="5" t="s">
        <v>82</v>
      </c>
      <c r="K15" s="5" t="s">
        <v>83</v>
      </c>
      <c r="L15" s="5" t="s">
        <v>84</v>
      </c>
      <c r="M15" s="5" t="s">
        <v>85</v>
      </c>
      <c r="N15" s="5" t="s">
        <v>85</v>
      </c>
      <c r="O15" s="5" t="s">
        <v>86</v>
      </c>
      <c r="P15" s="5" t="s">
        <v>87</v>
      </c>
      <c r="Q15" s="5" t="s">
        <v>88</v>
      </c>
      <c r="R15" s="5" t="s">
        <v>89</v>
      </c>
      <c r="S15" s="5" t="s">
        <v>90</v>
      </c>
      <c r="T15" s="5" t="s">
        <v>91</v>
      </c>
      <c r="U15" s="5" t="s">
        <v>92</v>
      </c>
      <c r="V15" s="5">
        <v>0</v>
      </c>
      <c r="W15" s="5" t="s">
        <v>93</v>
      </c>
      <c r="X15" s="5" t="s">
        <v>200</v>
      </c>
      <c r="Y15" s="5" t="s">
        <v>201</v>
      </c>
      <c r="Z15" s="5" t="s">
        <v>202</v>
      </c>
      <c r="AA15" s="5" t="s">
        <v>97</v>
      </c>
      <c r="AB15" s="5"/>
      <c r="AC15" s="5" t="s">
        <v>98</v>
      </c>
      <c r="AD15" s="5" t="s">
        <v>86</v>
      </c>
      <c r="AE15" s="5">
        <v>0</v>
      </c>
      <c r="AF15" s="5" t="s">
        <v>99</v>
      </c>
      <c r="AG15" s="5" t="s">
        <v>100</v>
      </c>
      <c r="AH15" s="5"/>
      <c r="AI15" s="5" t="s">
        <v>86</v>
      </c>
      <c r="AJ15" s="5" t="s">
        <v>86</v>
      </c>
      <c r="AK15" s="5"/>
      <c r="AL15" s="5" t="s">
        <v>86</v>
      </c>
      <c r="AM15" s="5" t="s">
        <v>101</v>
      </c>
    </row>
    <row r="16" spans="1:39" ht="100.05" customHeight="1" x14ac:dyDescent="0.3">
      <c r="A16" s="5" t="s">
        <v>203</v>
      </c>
      <c r="B16" s="5" t="s">
        <v>204</v>
      </c>
      <c r="C16" s="5" t="s">
        <v>205</v>
      </c>
      <c r="D16" s="5" t="s">
        <v>77</v>
      </c>
      <c r="E16" s="5" t="s">
        <v>78</v>
      </c>
      <c r="F16" s="5" t="s">
        <v>130</v>
      </c>
      <c r="G16" s="5" t="s">
        <v>80</v>
      </c>
      <c r="H16" s="5" t="s">
        <v>206</v>
      </c>
      <c r="I16" s="5" t="s">
        <v>82</v>
      </c>
      <c r="J16" s="5" t="s">
        <v>82</v>
      </c>
      <c r="K16" s="5" t="s">
        <v>83</v>
      </c>
      <c r="L16" s="5" t="s">
        <v>84</v>
      </c>
      <c r="M16" s="5" t="s">
        <v>85</v>
      </c>
      <c r="N16" s="5" t="s">
        <v>85</v>
      </c>
      <c r="O16" s="5" t="s">
        <v>86</v>
      </c>
      <c r="P16" s="5" t="s">
        <v>87</v>
      </c>
      <c r="Q16" s="5" t="s">
        <v>88</v>
      </c>
      <c r="R16" s="5" t="s">
        <v>89</v>
      </c>
      <c r="S16" s="5" t="s">
        <v>90</v>
      </c>
      <c r="T16" s="5" t="s">
        <v>91</v>
      </c>
      <c r="U16" s="5" t="s">
        <v>92</v>
      </c>
      <c r="V16" s="5">
        <v>0</v>
      </c>
      <c r="W16" s="5" t="s">
        <v>93</v>
      </c>
      <c r="X16" s="5" t="s">
        <v>207</v>
      </c>
      <c r="Y16" s="5" t="s">
        <v>208</v>
      </c>
      <c r="Z16" s="5" t="s">
        <v>209</v>
      </c>
      <c r="AA16" s="5" t="s">
        <v>97</v>
      </c>
      <c r="AB16" s="5"/>
      <c r="AC16" s="5" t="s">
        <v>98</v>
      </c>
      <c r="AD16" s="5" t="s">
        <v>86</v>
      </c>
      <c r="AE16" s="5">
        <v>0</v>
      </c>
      <c r="AF16" s="5" t="s">
        <v>99</v>
      </c>
      <c r="AG16" s="5" t="s">
        <v>100</v>
      </c>
      <c r="AH16" s="5"/>
      <c r="AI16" s="5" t="s">
        <v>86</v>
      </c>
      <c r="AJ16" s="5" t="s">
        <v>86</v>
      </c>
      <c r="AK16" s="5"/>
      <c r="AL16" s="5" t="s">
        <v>86</v>
      </c>
      <c r="AM16" s="5" t="s">
        <v>101</v>
      </c>
    </row>
    <row r="17" spans="1:39" ht="100.05" customHeight="1" x14ac:dyDescent="0.3">
      <c r="A17" s="5" t="s">
        <v>210</v>
      </c>
      <c r="B17" s="5" t="s">
        <v>211</v>
      </c>
      <c r="C17" s="5" t="s">
        <v>212</v>
      </c>
      <c r="D17" s="5" t="s">
        <v>213</v>
      </c>
      <c r="E17" s="5" t="s">
        <v>78</v>
      </c>
      <c r="F17" s="5" t="s">
        <v>138</v>
      </c>
      <c r="G17" s="5" t="s">
        <v>80</v>
      </c>
      <c r="H17" s="5" t="s">
        <v>214</v>
      </c>
      <c r="I17" s="5" t="s">
        <v>82</v>
      </c>
      <c r="J17" s="5" t="s">
        <v>82</v>
      </c>
      <c r="K17" s="5" t="s">
        <v>83</v>
      </c>
      <c r="L17" s="5" t="s">
        <v>84</v>
      </c>
      <c r="M17" s="5" t="s">
        <v>85</v>
      </c>
      <c r="N17" s="5" t="s">
        <v>85</v>
      </c>
      <c r="O17" s="5" t="s">
        <v>86</v>
      </c>
      <c r="P17" s="5" t="s">
        <v>87</v>
      </c>
      <c r="Q17" s="5" t="s">
        <v>88</v>
      </c>
      <c r="R17" s="5" t="s">
        <v>89</v>
      </c>
      <c r="S17" s="5" t="s">
        <v>90</v>
      </c>
      <c r="T17" s="5" t="s">
        <v>91</v>
      </c>
      <c r="U17" s="5" t="s">
        <v>92</v>
      </c>
      <c r="V17" s="5">
        <v>0</v>
      </c>
      <c r="W17" s="5" t="s">
        <v>93</v>
      </c>
      <c r="X17" s="5" t="s">
        <v>215</v>
      </c>
      <c r="Y17" s="5" t="s">
        <v>216</v>
      </c>
      <c r="Z17" s="5" t="s">
        <v>217</v>
      </c>
      <c r="AA17" s="5" t="s">
        <v>97</v>
      </c>
      <c r="AB17" s="5"/>
      <c r="AC17" s="5" t="s">
        <v>98</v>
      </c>
      <c r="AD17" s="5" t="s">
        <v>86</v>
      </c>
      <c r="AE17" s="5">
        <v>0</v>
      </c>
      <c r="AF17" s="5" t="s">
        <v>99</v>
      </c>
      <c r="AG17" s="5" t="s">
        <v>100</v>
      </c>
      <c r="AH17" s="5"/>
      <c r="AI17" s="5" t="s">
        <v>86</v>
      </c>
      <c r="AJ17" s="5" t="s">
        <v>86</v>
      </c>
      <c r="AK17" s="5"/>
      <c r="AL17" s="5" t="s">
        <v>86</v>
      </c>
      <c r="AM17" s="5" t="s">
        <v>101</v>
      </c>
    </row>
    <row r="18" spans="1:39" ht="100.05" customHeight="1" x14ac:dyDescent="0.3">
      <c r="A18" s="5" t="s">
        <v>218</v>
      </c>
      <c r="B18" s="5" t="s">
        <v>219</v>
      </c>
      <c r="C18" s="5" t="s">
        <v>220</v>
      </c>
      <c r="D18" s="5" t="s">
        <v>105</v>
      </c>
      <c r="E18" s="5" t="s">
        <v>78</v>
      </c>
      <c r="F18" s="5" t="s">
        <v>146</v>
      </c>
      <c r="G18" s="5" t="s">
        <v>80</v>
      </c>
      <c r="H18" s="5" t="s">
        <v>221</v>
      </c>
      <c r="I18" s="5" t="s">
        <v>82</v>
      </c>
      <c r="J18" s="5" t="s">
        <v>82</v>
      </c>
      <c r="K18" s="5" t="s">
        <v>83</v>
      </c>
      <c r="L18" s="5" t="s">
        <v>84</v>
      </c>
      <c r="M18" s="5" t="s">
        <v>85</v>
      </c>
      <c r="N18" s="5" t="s">
        <v>85</v>
      </c>
      <c r="O18" s="5" t="s">
        <v>86</v>
      </c>
      <c r="P18" s="5" t="s">
        <v>87</v>
      </c>
      <c r="Q18" s="5" t="s">
        <v>88</v>
      </c>
      <c r="R18" s="5" t="s">
        <v>89</v>
      </c>
      <c r="S18" s="5" t="s">
        <v>90</v>
      </c>
      <c r="T18" s="5" t="s">
        <v>91</v>
      </c>
      <c r="U18" s="5" t="s">
        <v>92</v>
      </c>
      <c r="V18" s="5">
        <v>0</v>
      </c>
      <c r="W18" s="5" t="s">
        <v>93</v>
      </c>
      <c r="X18" s="5" t="s">
        <v>222</v>
      </c>
      <c r="Y18" s="5" t="s">
        <v>223</v>
      </c>
      <c r="Z18" s="5" t="s">
        <v>224</v>
      </c>
      <c r="AA18" s="5" t="s">
        <v>97</v>
      </c>
      <c r="AB18" s="5"/>
      <c r="AC18" s="5" t="s">
        <v>98</v>
      </c>
      <c r="AD18" s="5" t="s">
        <v>86</v>
      </c>
      <c r="AE18" s="5">
        <v>0</v>
      </c>
      <c r="AF18" s="5" t="s">
        <v>99</v>
      </c>
      <c r="AG18" s="5" t="s">
        <v>100</v>
      </c>
      <c r="AH18" s="5"/>
      <c r="AI18" s="5" t="s">
        <v>86</v>
      </c>
      <c r="AJ18" s="5" t="s">
        <v>86</v>
      </c>
      <c r="AK18" s="5"/>
      <c r="AL18" s="5" t="s">
        <v>86</v>
      </c>
      <c r="AM18" s="5" t="s">
        <v>101</v>
      </c>
    </row>
    <row r="19" spans="1:39" ht="100.05" customHeight="1" x14ac:dyDescent="0.3">
      <c r="A19" s="5" t="s">
        <v>225</v>
      </c>
      <c r="B19" s="5" t="s">
        <v>226</v>
      </c>
      <c r="C19" s="5" t="s">
        <v>227</v>
      </c>
      <c r="D19" s="5" t="s">
        <v>213</v>
      </c>
      <c r="E19" s="5" t="s">
        <v>78</v>
      </c>
      <c r="F19" s="5" t="s">
        <v>154</v>
      </c>
      <c r="G19" s="5" t="s">
        <v>80</v>
      </c>
      <c r="H19" s="5" t="s">
        <v>228</v>
      </c>
      <c r="I19" s="5" t="s">
        <v>82</v>
      </c>
      <c r="J19" s="5" t="s">
        <v>82</v>
      </c>
      <c r="K19" s="5" t="s">
        <v>83</v>
      </c>
      <c r="L19" s="5" t="s">
        <v>84</v>
      </c>
      <c r="M19" s="5" t="s">
        <v>85</v>
      </c>
      <c r="N19" s="5" t="s">
        <v>85</v>
      </c>
      <c r="O19" s="5" t="s">
        <v>86</v>
      </c>
      <c r="P19" s="5" t="s">
        <v>87</v>
      </c>
      <c r="Q19" s="5" t="s">
        <v>88</v>
      </c>
      <c r="R19" s="5" t="s">
        <v>89</v>
      </c>
      <c r="S19" s="5" t="s">
        <v>90</v>
      </c>
      <c r="T19" s="5" t="s">
        <v>91</v>
      </c>
      <c r="U19" s="5" t="s">
        <v>92</v>
      </c>
      <c r="V19" s="5">
        <v>0</v>
      </c>
      <c r="W19" s="5" t="s">
        <v>93</v>
      </c>
      <c r="X19" s="5" t="s">
        <v>229</v>
      </c>
      <c r="Y19" s="5" t="s">
        <v>230</v>
      </c>
      <c r="Z19" s="5" t="s">
        <v>231</v>
      </c>
      <c r="AA19" s="5" t="s">
        <v>97</v>
      </c>
      <c r="AB19" s="5"/>
      <c r="AC19" s="5" t="s">
        <v>98</v>
      </c>
      <c r="AD19" s="5" t="s">
        <v>86</v>
      </c>
      <c r="AE19" s="5">
        <v>0</v>
      </c>
      <c r="AF19" s="5" t="s">
        <v>99</v>
      </c>
      <c r="AG19" s="5" t="s">
        <v>100</v>
      </c>
      <c r="AH19" s="5"/>
      <c r="AI19" s="5" t="s">
        <v>86</v>
      </c>
      <c r="AJ19" s="5" t="s">
        <v>86</v>
      </c>
      <c r="AK19" s="5"/>
      <c r="AL19" s="5" t="s">
        <v>86</v>
      </c>
      <c r="AM19" s="5" t="s">
        <v>101</v>
      </c>
    </row>
    <row r="20" spans="1:39" ht="100.05" customHeight="1" x14ac:dyDescent="0.3">
      <c r="A20" s="5" t="s">
        <v>232</v>
      </c>
      <c r="B20" s="5" t="s">
        <v>233</v>
      </c>
      <c r="C20" s="5" t="s">
        <v>234</v>
      </c>
      <c r="D20" s="5" t="s">
        <v>213</v>
      </c>
      <c r="E20" s="5" t="s">
        <v>78</v>
      </c>
      <c r="F20" s="5" t="s">
        <v>162</v>
      </c>
      <c r="G20" s="5" t="s">
        <v>80</v>
      </c>
      <c r="H20" s="5" t="s">
        <v>235</v>
      </c>
      <c r="I20" s="5" t="s">
        <v>82</v>
      </c>
      <c r="J20" s="5" t="s">
        <v>82</v>
      </c>
      <c r="K20" s="5" t="s">
        <v>83</v>
      </c>
      <c r="L20" s="5" t="s">
        <v>84</v>
      </c>
      <c r="M20" s="5" t="s">
        <v>85</v>
      </c>
      <c r="N20" s="5" t="s">
        <v>85</v>
      </c>
      <c r="O20" s="5" t="s">
        <v>86</v>
      </c>
      <c r="P20" s="5" t="s">
        <v>87</v>
      </c>
      <c r="Q20" s="5" t="s">
        <v>88</v>
      </c>
      <c r="R20" s="5" t="s">
        <v>89</v>
      </c>
      <c r="S20" s="5" t="s">
        <v>90</v>
      </c>
      <c r="T20" s="5" t="s">
        <v>91</v>
      </c>
      <c r="U20" s="5" t="s">
        <v>92</v>
      </c>
      <c r="V20" s="5">
        <v>0</v>
      </c>
      <c r="W20" s="5" t="s">
        <v>93</v>
      </c>
      <c r="X20" s="5" t="s">
        <v>236</v>
      </c>
      <c r="Y20" s="5" t="s">
        <v>237</v>
      </c>
      <c r="Z20" s="5" t="s">
        <v>238</v>
      </c>
      <c r="AA20" s="5" t="s">
        <v>97</v>
      </c>
      <c r="AB20" s="5"/>
      <c r="AC20" s="5" t="s">
        <v>98</v>
      </c>
      <c r="AD20" s="5" t="s">
        <v>86</v>
      </c>
      <c r="AE20" s="5">
        <v>0</v>
      </c>
      <c r="AF20" s="5" t="s">
        <v>99</v>
      </c>
      <c r="AG20" s="5" t="s">
        <v>100</v>
      </c>
      <c r="AH20" s="5"/>
      <c r="AI20" s="5" t="s">
        <v>86</v>
      </c>
      <c r="AJ20" s="5" t="s">
        <v>86</v>
      </c>
      <c r="AK20" s="5"/>
      <c r="AL20" s="5" t="s">
        <v>86</v>
      </c>
      <c r="AM20" s="5" t="s">
        <v>101</v>
      </c>
    </row>
    <row r="21" spans="1:39" ht="100.05" customHeight="1" x14ac:dyDescent="0.3">
      <c r="A21" s="5" t="s">
        <v>239</v>
      </c>
      <c r="B21" s="5" t="s">
        <v>240</v>
      </c>
      <c r="C21" s="5" t="s">
        <v>241</v>
      </c>
      <c r="D21" s="5" t="s">
        <v>213</v>
      </c>
      <c r="E21" s="5" t="s">
        <v>78</v>
      </c>
      <c r="F21" s="5" t="s">
        <v>170</v>
      </c>
      <c r="G21" s="5" t="s">
        <v>80</v>
      </c>
      <c r="H21" s="5" t="s">
        <v>242</v>
      </c>
      <c r="I21" s="5" t="s">
        <v>82</v>
      </c>
      <c r="J21" s="5" t="s">
        <v>82</v>
      </c>
      <c r="K21" s="5" t="s">
        <v>83</v>
      </c>
      <c r="L21" s="5" t="s">
        <v>84</v>
      </c>
      <c r="M21" s="5" t="s">
        <v>85</v>
      </c>
      <c r="N21" s="5" t="s">
        <v>85</v>
      </c>
      <c r="O21" s="5" t="s">
        <v>86</v>
      </c>
      <c r="P21" s="5" t="s">
        <v>87</v>
      </c>
      <c r="Q21" s="5" t="s">
        <v>88</v>
      </c>
      <c r="R21" s="5" t="s">
        <v>89</v>
      </c>
      <c r="S21" s="5" t="s">
        <v>90</v>
      </c>
      <c r="T21" s="5" t="s">
        <v>91</v>
      </c>
      <c r="U21" s="5" t="s">
        <v>92</v>
      </c>
      <c r="V21" s="5">
        <v>0</v>
      </c>
      <c r="W21" s="5" t="s">
        <v>93</v>
      </c>
      <c r="X21" s="5" t="s">
        <v>243</v>
      </c>
      <c r="Y21" s="5" t="s">
        <v>244</v>
      </c>
      <c r="Z21" s="5" t="s">
        <v>245</v>
      </c>
      <c r="AA21" s="5" t="s">
        <v>97</v>
      </c>
      <c r="AB21" s="5"/>
      <c r="AC21" s="5" t="s">
        <v>98</v>
      </c>
      <c r="AD21" s="5" t="s">
        <v>86</v>
      </c>
      <c r="AE21" s="5">
        <v>0</v>
      </c>
      <c r="AF21" s="5" t="s">
        <v>99</v>
      </c>
      <c r="AG21" s="5" t="s">
        <v>100</v>
      </c>
      <c r="AH21" s="5"/>
      <c r="AI21" s="5" t="s">
        <v>86</v>
      </c>
      <c r="AJ21" s="5" t="s">
        <v>86</v>
      </c>
      <c r="AK21" s="5"/>
      <c r="AL21" s="5" t="s">
        <v>86</v>
      </c>
      <c r="AM21" s="5" t="s">
        <v>101</v>
      </c>
    </row>
    <row r="22" spans="1:39" ht="100.05" customHeight="1" x14ac:dyDescent="0.3">
      <c r="A22" s="5" t="s">
        <v>246</v>
      </c>
      <c r="B22" s="5" t="s">
        <v>247</v>
      </c>
      <c r="C22" s="5" t="s">
        <v>248</v>
      </c>
      <c r="D22" s="5" t="s">
        <v>213</v>
      </c>
      <c r="E22" s="5" t="s">
        <v>78</v>
      </c>
      <c r="F22" s="5" t="s">
        <v>79</v>
      </c>
      <c r="G22" s="5" t="s">
        <v>80</v>
      </c>
      <c r="H22" s="5" t="s">
        <v>249</v>
      </c>
      <c r="I22" s="5" t="s">
        <v>82</v>
      </c>
      <c r="J22" s="5" t="s">
        <v>82</v>
      </c>
      <c r="K22" s="5" t="s">
        <v>83</v>
      </c>
      <c r="L22" s="5" t="s">
        <v>84</v>
      </c>
      <c r="M22" s="5" t="s">
        <v>85</v>
      </c>
      <c r="N22" s="5" t="s">
        <v>85</v>
      </c>
      <c r="O22" s="5" t="s">
        <v>86</v>
      </c>
      <c r="P22" s="5" t="s">
        <v>87</v>
      </c>
      <c r="Q22" s="5" t="s">
        <v>88</v>
      </c>
      <c r="R22" s="5" t="s">
        <v>89</v>
      </c>
      <c r="S22" s="5" t="s">
        <v>90</v>
      </c>
      <c r="T22" s="5" t="s">
        <v>91</v>
      </c>
      <c r="U22" s="5" t="s">
        <v>92</v>
      </c>
      <c r="V22" s="5">
        <v>0</v>
      </c>
      <c r="W22" s="5" t="s">
        <v>93</v>
      </c>
      <c r="X22" s="5" t="s">
        <v>250</v>
      </c>
      <c r="Y22" s="5" t="s">
        <v>251</v>
      </c>
      <c r="Z22" s="5" t="s">
        <v>252</v>
      </c>
      <c r="AA22" s="5" t="s">
        <v>97</v>
      </c>
      <c r="AB22" s="5"/>
      <c r="AC22" s="5" t="s">
        <v>98</v>
      </c>
      <c r="AD22" s="5" t="s">
        <v>86</v>
      </c>
      <c r="AE22" s="5">
        <v>0</v>
      </c>
      <c r="AF22" s="5" t="s">
        <v>99</v>
      </c>
      <c r="AG22" s="5" t="s">
        <v>100</v>
      </c>
      <c r="AH22" s="5"/>
      <c r="AI22" s="5" t="s">
        <v>86</v>
      </c>
      <c r="AJ22" s="5" t="s">
        <v>86</v>
      </c>
      <c r="AK22" s="5"/>
      <c r="AL22" s="5" t="s">
        <v>86</v>
      </c>
      <c r="AM22" s="5" t="s">
        <v>101</v>
      </c>
    </row>
    <row r="23" spans="1:39" ht="100.05" customHeight="1" x14ac:dyDescent="0.3">
      <c r="A23" s="5" t="s">
        <v>253</v>
      </c>
      <c r="B23" s="5" t="s">
        <v>254</v>
      </c>
      <c r="C23" s="5" t="s">
        <v>255</v>
      </c>
      <c r="D23" s="5" t="s">
        <v>213</v>
      </c>
      <c r="E23" s="5" t="s">
        <v>78</v>
      </c>
      <c r="F23" s="5" t="s">
        <v>106</v>
      </c>
      <c r="G23" s="5" t="s">
        <v>80</v>
      </c>
      <c r="H23" s="5" t="s">
        <v>256</v>
      </c>
      <c r="I23" s="5" t="s">
        <v>82</v>
      </c>
      <c r="J23" s="5" t="s">
        <v>82</v>
      </c>
      <c r="K23" s="5" t="s">
        <v>83</v>
      </c>
      <c r="L23" s="5" t="s">
        <v>84</v>
      </c>
      <c r="M23" s="5" t="s">
        <v>85</v>
      </c>
      <c r="N23" s="5" t="s">
        <v>85</v>
      </c>
      <c r="O23" s="5" t="s">
        <v>86</v>
      </c>
      <c r="P23" s="5" t="s">
        <v>87</v>
      </c>
      <c r="Q23" s="5" t="s">
        <v>88</v>
      </c>
      <c r="R23" s="5" t="s">
        <v>89</v>
      </c>
      <c r="S23" s="5" t="s">
        <v>90</v>
      </c>
      <c r="T23" s="5" t="s">
        <v>91</v>
      </c>
      <c r="U23" s="5" t="s">
        <v>92</v>
      </c>
      <c r="V23" s="5">
        <v>0</v>
      </c>
      <c r="W23" s="5" t="s">
        <v>93</v>
      </c>
      <c r="X23" s="5" t="s">
        <v>257</v>
      </c>
      <c r="Y23" s="5" t="s">
        <v>258</v>
      </c>
      <c r="Z23" s="5" t="s">
        <v>259</v>
      </c>
      <c r="AA23" s="5" t="s">
        <v>97</v>
      </c>
      <c r="AB23" s="5"/>
      <c r="AC23" s="5" t="s">
        <v>98</v>
      </c>
      <c r="AD23" s="5" t="s">
        <v>86</v>
      </c>
      <c r="AE23" s="5">
        <v>0</v>
      </c>
      <c r="AF23" s="5" t="s">
        <v>99</v>
      </c>
      <c r="AG23" s="5" t="s">
        <v>100</v>
      </c>
      <c r="AH23" s="5"/>
      <c r="AI23" s="5" t="s">
        <v>86</v>
      </c>
      <c r="AJ23" s="5" t="s">
        <v>86</v>
      </c>
      <c r="AK23" s="5"/>
      <c r="AL23" s="5" t="s">
        <v>86</v>
      </c>
      <c r="AM23" s="5" t="s">
        <v>101</v>
      </c>
    </row>
    <row r="24" spans="1:39" ht="100.05" customHeight="1" x14ac:dyDescent="0.3">
      <c r="A24" s="5" t="s">
        <v>260</v>
      </c>
      <c r="B24" s="5" t="s">
        <v>261</v>
      </c>
      <c r="C24" s="5" t="s">
        <v>262</v>
      </c>
      <c r="D24" s="5" t="s">
        <v>105</v>
      </c>
      <c r="E24" s="5" t="s">
        <v>78</v>
      </c>
      <c r="F24" s="5" t="s">
        <v>114</v>
      </c>
      <c r="G24" s="5" t="s">
        <v>80</v>
      </c>
      <c r="H24" s="5" t="s">
        <v>263</v>
      </c>
      <c r="I24" s="5" t="s">
        <v>82</v>
      </c>
      <c r="J24" s="5" t="s">
        <v>82</v>
      </c>
      <c r="K24" s="5" t="s">
        <v>83</v>
      </c>
      <c r="L24" s="5" t="s">
        <v>84</v>
      </c>
      <c r="M24" s="5" t="s">
        <v>85</v>
      </c>
      <c r="N24" s="5" t="s">
        <v>85</v>
      </c>
      <c r="O24" s="5" t="s">
        <v>86</v>
      </c>
      <c r="P24" s="5" t="s">
        <v>87</v>
      </c>
      <c r="Q24" s="5" t="s">
        <v>88</v>
      </c>
      <c r="R24" s="5" t="s">
        <v>89</v>
      </c>
      <c r="S24" s="5" t="s">
        <v>90</v>
      </c>
      <c r="T24" s="5" t="s">
        <v>91</v>
      </c>
      <c r="U24" s="5" t="s">
        <v>92</v>
      </c>
      <c r="V24" s="5">
        <v>0</v>
      </c>
      <c r="W24" s="5" t="s">
        <v>93</v>
      </c>
      <c r="X24" s="5" t="s">
        <v>264</v>
      </c>
      <c r="Y24" s="5" t="s">
        <v>265</v>
      </c>
      <c r="Z24" s="5" t="s">
        <v>266</v>
      </c>
      <c r="AA24" s="5" t="s">
        <v>97</v>
      </c>
      <c r="AB24" s="5"/>
      <c r="AC24" s="5" t="s">
        <v>98</v>
      </c>
      <c r="AD24" s="5" t="s">
        <v>86</v>
      </c>
      <c r="AE24" s="5">
        <v>0</v>
      </c>
      <c r="AF24" s="5" t="s">
        <v>99</v>
      </c>
      <c r="AG24" s="5" t="s">
        <v>100</v>
      </c>
      <c r="AH24" s="5"/>
      <c r="AI24" s="5" t="s">
        <v>86</v>
      </c>
      <c r="AJ24" s="5" t="s">
        <v>86</v>
      </c>
      <c r="AK24" s="5"/>
      <c r="AL24" s="5" t="s">
        <v>86</v>
      </c>
      <c r="AM24" s="5" t="s">
        <v>101</v>
      </c>
    </row>
    <row r="25" spans="1:39" ht="100.05" customHeight="1" x14ac:dyDescent="0.3">
      <c r="A25" s="5" t="s">
        <v>267</v>
      </c>
      <c r="B25" s="5" t="s">
        <v>268</v>
      </c>
      <c r="C25" s="5" t="s">
        <v>269</v>
      </c>
      <c r="D25" s="5" t="s">
        <v>105</v>
      </c>
      <c r="E25" s="5" t="s">
        <v>78</v>
      </c>
      <c r="F25" s="5" t="s">
        <v>122</v>
      </c>
      <c r="G25" s="5" t="s">
        <v>80</v>
      </c>
      <c r="H25" s="5" t="s">
        <v>270</v>
      </c>
      <c r="I25" s="5" t="s">
        <v>82</v>
      </c>
      <c r="J25" s="5" t="s">
        <v>82</v>
      </c>
      <c r="K25" s="5" t="s">
        <v>83</v>
      </c>
      <c r="L25" s="5" t="s">
        <v>84</v>
      </c>
      <c r="M25" s="5" t="s">
        <v>85</v>
      </c>
      <c r="N25" s="5" t="s">
        <v>85</v>
      </c>
      <c r="O25" s="5" t="s">
        <v>86</v>
      </c>
      <c r="P25" s="5" t="s">
        <v>87</v>
      </c>
      <c r="Q25" s="5" t="s">
        <v>88</v>
      </c>
      <c r="R25" s="5" t="s">
        <v>89</v>
      </c>
      <c r="S25" s="5" t="s">
        <v>90</v>
      </c>
      <c r="T25" s="5" t="s">
        <v>91</v>
      </c>
      <c r="U25" s="5" t="s">
        <v>92</v>
      </c>
      <c r="V25" s="5">
        <v>0</v>
      </c>
      <c r="W25" s="5" t="s">
        <v>93</v>
      </c>
      <c r="X25" s="5" t="s">
        <v>271</v>
      </c>
      <c r="Y25" s="5" t="s">
        <v>272</v>
      </c>
      <c r="Z25" s="5" t="s">
        <v>273</v>
      </c>
      <c r="AA25" s="5" t="s">
        <v>97</v>
      </c>
      <c r="AB25" s="5"/>
      <c r="AC25" s="5" t="s">
        <v>98</v>
      </c>
      <c r="AD25" s="5" t="s">
        <v>86</v>
      </c>
      <c r="AE25" s="5">
        <v>0</v>
      </c>
      <c r="AF25" s="5" t="s">
        <v>99</v>
      </c>
      <c r="AG25" s="5" t="s">
        <v>100</v>
      </c>
      <c r="AH25" s="5"/>
      <c r="AI25" s="5" t="s">
        <v>86</v>
      </c>
      <c r="AJ25" s="5" t="s">
        <v>86</v>
      </c>
      <c r="AK25" s="5"/>
      <c r="AL25" s="5" t="s">
        <v>86</v>
      </c>
      <c r="AM25" s="5" t="s">
        <v>101</v>
      </c>
    </row>
    <row r="26" spans="1:39" ht="100.05" customHeight="1" x14ac:dyDescent="0.3">
      <c r="A26" s="5" t="s">
        <v>274</v>
      </c>
      <c r="B26" s="5" t="s">
        <v>275</v>
      </c>
      <c r="C26" s="5" t="s">
        <v>276</v>
      </c>
      <c r="D26" s="5" t="s">
        <v>213</v>
      </c>
      <c r="E26" s="5" t="s">
        <v>78</v>
      </c>
      <c r="F26" s="5" t="s">
        <v>130</v>
      </c>
      <c r="G26" s="5" t="s">
        <v>80</v>
      </c>
      <c r="H26" s="5" t="s">
        <v>277</v>
      </c>
      <c r="I26" s="5" t="s">
        <v>82</v>
      </c>
      <c r="J26" s="5" t="s">
        <v>82</v>
      </c>
      <c r="K26" s="5" t="s">
        <v>83</v>
      </c>
      <c r="L26" s="5" t="s">
        <v>84</v>
      </c>
      <c r="M26" s="5" t="s">
        <v>85</v>
      </c>
      <c r="N26" s="5" t="s">
        <v>85</v>
      </c>
      <c r="O26" s="5" t="s">
        <v>86</v>
      </c>
      <c r="P26" s="5" t="s">
        <v>87</v>
      </c>
      <c r="Q26" s="5" t="s">
        <v>88</v>
      </c>
      <c r="R26" s="5" t="s">
        <v>89</v>
      </c>
      <c r="S26" s="5" t="s">
        <v>90</v>
      </c>
      <c r="T26" s="5" t="s">
        <v>91</v>
      </c>
      <c r="U26" s="5" t="s">
        <v>92</v>
      </c>
      <c r="V26" s="5">
        <v>0</v>
      </c>
      <c r="W26" s="5" t="s">
        <v>93</v>
      </c>
      <c r="X26" s="5" t="s">
        <v>278</v>
      </c>
      <c r="Y26" s="5" t="s">
        <v>279</v>
      </c>
      <c r="Z26" s="5" t="s">
        <v>280</v>
      </c>
      <c r="AA26" s="5" t="s">
        <v>97</v>
      </c>
      <c r="AB26" s="5"/>
      <c r="AC26" s="5" t="s">
        <v>98</v>
      </c>
      <c r="AD26" s="5" t="s">
        <v>86</v>
      </c>
      <c r="AE26" s="5">
        <v>0</v>
      </c>
      <c r="AF26" s="5" t="s">
        <v>99</v>
      </c>
      <c r="AG26" s="5" t="s">
        <v>100</v>
      </c>
      <c r="AH26" s="5"/>
      <c r="AI26" s="5" t="s">
        <v>86</v>
      </c>
      <c r="AJ26" s="5" t="s">
        <v>86</v>
      </c>
      <c r="AK26" s="5"/>
      <c r="AL26" s="5" t="s">
        <v>86</v>
      </c>
      <c r="AM26" s="5" t="s">
        <v>101</v>
      </c>
    </row>
    <row r="27" spans="1:39" ht="100.05" customHeight="1" x14ac:dyDescent="0.3">
      <c r="A27" s="5" t="s">
        <v>281</v>
      </c>
      <c r="B27" s="5" t="s">
        <v>282</v>
      </c>
      <c r="C27" s="5" t="s">
        <v>283</v>
      </c>
      <c r="D27" s="5" t="s">
        <v>105</v>
      </c>
      <c r="E27" s="5" t="s">
        <v>78</v>
      </c>
      <c r="F27" s="5" t="s">
        <v>138</v>
      </c>
      <c r="G27" s="5" t="s">
        <v>80</v>
      </c>
      <c r="H27" s="5" t="s">
        <v>284</v>
      </c>
      <c r="I27" s="5" t="s">
        <v>82</v>
      </c>
      <c r="J27" s="5" t="s">
        <v>82</v>
      </c>
      <c r="K27" s="5" t="s">
        <v>83</v>
      </c>
      <c r="L27" s="5" t="s">
        <v>84</v>
      </c>
      <c r="M27" s="5" t="s">
        <v>85</v>
      </c>
      <c r="N27" s="5" t="s">
        <v>85</v>
      </c>
      <c r="O27" s="5" t="s">
        <v>86</v>
      </c>
      <c r="P27" s="5" t="s">
        <v>87</v>
      </c>
      <c r="Q27" s="5" t="s">
        <v>88</v>
      </c>
      <c r="R27" s="5" t="s">
        <v>89</v>
      </c>
      <c r="S27" s="5" t="s">
        <v>90</v>
      </c>
      <c r="T27" s="5" t="s">
        <v>91</v>
      </c>
      <c r="U27" s="5" t="s">
        <v>92</v>
      </c>
      <c r="V27" s="5">
        <v>0</v>
      </c>
      <c r="W27" s="5" t="s">
        <v>93</v>
      </c>
      <c r="X27" s="5" t="s">
        <v>285</v>
      </c>
      <c r="Y27" s="5" t="s">
        <v>286</v>
      </c>
      <c r="Z27" s="5" t="s">
        <v>287</v>
      </c>
      <c r="AA27" s="5" t="s">
        <v>97</v>
      </c>
      <c r="AB27" s="5"/>
      <c r="AC27" s="5" t="s">
        <v>98</v>
      </c>
      <c r="AD27" s="5" t="s">
        <v>86</v>
      </c>
      <c r="AE27" s="5">
        <v>0</v>
      </c>
      <c r="AF27" s="5" t="s">
        <v>99</v>
      </c>
      <c r="AG27" s="5" t="s">
        <v>100</v>
      </c>
      <c r="AH27" s="5"/>
      <c r="AI27" s="5" t="s">
        <v>86</v>
      </c>
      <c r="AJ27" s="5" t="s">
        <v>86</v>
      </c>
      <c r="AK27" s="5"/>
      <c r="AL27" s="5" t="s">
        <v>86</v>
      </c>
      <c r="AM27" s="5" t="s">
        <v>101</v>
      </c>
    </row>
    <row r="28" spans="1:39" ht="100.05" customHeight="1" x14ac:dyDescent="0.3">
      <c r="A28" s="5" t="s">
        <v>288</v>
      </c>
      <c r="B28" s="5" t="s">
        <v>289</v>
      </c>
      <c r="C28" s="5" t="s">
        <v>290</v>
      </c>
      <c r="D28" s="5" t="s">
        <v>213</v>
      </c>
      <c r="E28" s="5" t="s">
        <v>78</v>
      </c>
      <c r="F28" s="5" t="s">
        <v>146</v>
      </c>
      <c r="G28" s="5" t="s">
        <v>80</v>
      </c>
      <c r="H28" s="5" t="s">
        <v>291</v>
      </c>
      <c r="I28" s="5" t="s">
        <v>82</v>
      </c>
      <c r="J28" s="5" t="s">
        <v>82</v>
      </c>
      <c r="K28" s="5" t="s">
        <v>83</v>
      </c>
      <c r="L28" s="5" t="s">
        <v>84</v>
      </c>
      <c r="M28" s="5" t="s">
        <v>85</v>
      </c>
      <c r="N28" s="5" t="s">
        <v>85</v>
      </c>
      <c r="O28" s="5" t="s">
        <v>86</v>
      </c>
      <c r="P28" s="5" t="s">
        <v>87</v>
      </c>
      <c r="Q28" s="5" t="s">
        <v>88</v>
      </c>
      <c r="R28" s="5" t="s">
        <v>89</v>
      </c>
      <c r="S28" s="5" t="s">
        <v>90</v>
      </c>
      <c r="T28" s="5" t="s">
        <v>91</v>
      </c>
      <c r="U28" s="5" t="s">
        <v>92</v>
      </c>
      <c r="V28" s="5">
        <v>0</v>
      </c>
      <c r="W28" s="5" t="s">
        <v>93</v>
      </c>
      <c r="X28" s="5" t="s">
        <v>292</v>
      </c>
      <c r="Y28" s="5" t="s">
        <v>293</v>
      </c>
      <c r="Z28" s="5" t="s">
        <v>294</v>
      </c>
      <c r="AA28" s="5" t="s">
        <v>97</v>
      </c>
      <c r="AB28" s="5"/>
      <c r="AC28" s="5" t="s">
        <v>98</v>
      </c>
      <c r="AD28" s="5" t="s">
        <v>86</v>
      </c>
      <c r="AE28" s="5">
        <v>0</v>
      </c>
      <c r="AF28" s="5" t="s">
        <v>99</v>
      </c>
      <c r="AG28" s="5" t="s">
        <v>100</v>
      </c>
      <c r="AH28" s="5"/>
      <c r="AI28" s="5" t="s">
        <v>86</v>
      </c>
      <c r="AJ28" s="5" t="s">
        <v>86</v>
      </c>
      <c r="AK28" s="5"/>
      <c r="AL28" s="5" t="s">
        <v>86</v>
      </c>
      <c r="AM28" s="5" t="s">
        <v>101</v>
      </c>
    </row>
    <row r="29" spans="1:39" ht="100.05" customHeight="1" x14ac:dyDescent="0.3">
      <c r="A29" s="5" t="s">
        <v>295</v>
      </c>
      <c r="B29" s="5" t="s">
        <v>296</v>
      </c>
      <c r="C29" s="5" t="s">
        <v>297</v>
      </c>
      <c r="D29" s="5" t="s">
        <v>105</v>
      </c>
      <c r="E29" s="5" t="s">
        <v>78</v>
      </c>
      <c r="F29" s="5" t="s">
        <v>154</v>
      </c>
      <c r="G29" s="5" t="s">
        <v>80</v>
      </c>
      <c r="H29" s="5" t="s">
        <v>298</v>
      </c>
      <c r="I29" s="5" t="s">
        <v>82</v>
      </c>
      <c r="J29" s="5" t="s">
        <v>82</v>
      </c>
      <c r="K29" s="5" t="s">
        <v>83</v>
      </c>
      <c r="L29" s="5" t="s">
        <v>84</v>
      </c>
      <c r="M29" s="5" t="s">
        <v>85</v>
      </c>
      <c r="N29" s="5" t="s">
        <v>85</v>
      </c>
      <c r="O29" s="5" t="s">
        <v>86</v>
      </c>
      <c r="P29" s="5" t="s">
        <v>87</v>
      </c>
      <c r="Q29" s="5" t="s">
        <v>88</v>
      </c>
      <c r="R29" s="5" t="s">
        <v>89</v>
      </c>
      <c r="S29" s="5" t="s">
        <v>90</v>
      </c>
      <c r="T29" s="5" t="s">
        <v>91</v>
      </c>
      <c r="U29" s="5" t="s">
        <v>92</v>
      </c>
      <c r="V29" s="5">
        <v>0</v>
      </c>
      <c r="W29" s="5" t="s">
        <v>93</v>
      </c>
      <c r="X29" s="5" t="s">
        <v>299</v>
      </c>
      <c r="Y29" s="5" t="s">
        <v>300</v>
      </c>
      <c r="Z29" s="5" t="s">
        <v>301</v>
      </c>
      <c r="AA29" s="5" t="s">
        <v>97</v>
      </c>
      <c r="AB29" s="5"/>
      <c r="AC29" s="5" t="s">
        <v>98</v>
      </c>
      <c r="AD29" s="5" t="s">
        <v>86</v>
      </c>
      <c r="AE29" s="5">
        <v>0</v>
      </c>
      <c r="AF29" s="5" t="s">
        <v>99</v>
      </c>
      <c r="AG29" s="5" t="s">
        <v>100</v>
      </c>
      <c r="AH29" s="5"/>
      <c r="AI29" s="5" t="s">
        <v>86</v>
      </c>
      <c r="AJ29" s="5" t="s">
        <v>86</v>
      </c>
      <c r="AK29" s="5"/>
      <c r="AL29" s="5" t="s">
        <v>86</v>
      </c>
      <c r="AM29" s="5" t="s">
        <v>101</v>
      </c>
    </row>
    <row r="30" spans="1:39" ht="100.05" customHeight="1" x14ac:dyDescent="0.3">
      <c r="A30" s="5" t="s">
        <v>302</v>
      </c>
      <c r="B30" s="5" t="s">
        <v>303</v>
      </c>
      <c r="C30" s="5" t="s">
        <v>304</v>
      </c>
      <c r="D30" s="5" t="s">
        <v>77</v>
      </c>
      <c r="E30" s="5" t="s">
        <v>78</v>
      </c>
      <c r="F30" s="5" t="s">
        <v>162</v>
      </c>
      <c r="G30" s="5" t="s">
        <v>80</v>
      </c>
      <c r="H30" s="5" t="s">
        <v>305</v>
      </c>
      <c r="I30" s="5" t="s">
        <v>82</v>
      </c>
      <c r="J30" s="5" t="s">
        <v>82</v>
      </c>
      <c r="K30" s="5" t="s">
        <v>83</v>
      </c>
      <c r="L30" s="5" t="s">
        <v>84</v>
      </c>
      <c r="M30" s="5" t="s">
        <v>85</v>
      </c>
      <c r="N30" s="5" t="s">
        <v>85</v>
      </c>
      <c r="O30" s="5" t="s">
        <v>86</v>
      </c>
      <c r="P30" s="5" t="s">
        <v>87</v>
      </c>
      <c r="Q30" s="5" t="s">
        <v>88</v>
      </c>
      <c r="R30" s="5" t="s">
        <v>89</v>
      </c>
      <c r="S30" s="5" t="s">
        <v>90</v>
      </c>
      <c r="T30" s="5" t="s">
        <v>91</v>
      </c>
      <c r="U30" s="5" t="s">
        <v>92</v>
      </c>
      <c r="V30" s="5">
        <v>0</v>
      </c>
      <c r="W30" s="5" t="s">
        <v>93</v>
      </c>
      <c r="X30" s="5" t="s">
        <v>306</v>
      </c>
      <c r="Y30" s="5" t="s">
        <v>307</v>
      </c>
      <c r="Z30" s="5" t="s">
        <v>308</v>
      </c>
      <c r="AA30" s="5" t="s">
        <v>97</v>
      </c>
      <c r="AB30" s="5"/>
      <c r="AC30" s="5" t="s">
        <v>98</v>
      </c>
      <c r="AD30" s="5" t="s">
        <v>86</v>
      </c>
      <c r="AE30" s="5">
        <v>0</v>
      </c>
      <c r="AF30" s="5" t="s">
        <v>99</v>
      </c>
      <c r="AG30" s="5" t="s">
        <v>100</v>
      </c>
      <c r="AH30" s="5"/>
      <c r="AI30" s="5" t="s">
        <v>86</v>
      </c>
      <c r="AJ30" s="5" t="s">
        <v>86</v>
      </c>
      <c r="AK30" s="5"/>
      <c r="AL30" s="5" t="s">
        <v>86</v>
      </c>
      <c r="AM30" s="5" t="s">
        <v>101</v>
      </c>
    </row>
    <row r="31" spans="1:39" ht="100.05" customHeight="1" x14ac:dyDescent="0.3">
      <c r="A31" s="5" t="s">
        <v>309</v>
      </c>
      <c r="B31" s="5" t="s">
        <v>310</v>
      </c>
      <c r="C31" s="5" t="s">
        <v>311</v>
      </c>
      <c r="D31" s="5" t="s">
        <v>213</v>
      </c>
      <c r="E31" s="5" t="s">
        <v>78</v>
      </c>
      <c r="F31" s="5" t="s">
        <v>170</v>
      </c>
      <c r="G31" s="5" t="s">
        <v>80</v>
      </c>
      <c r="H31" s="5" t="s">
        <v>312</v>
      </c>
      <c r="I31" s="5" t="s">
        <v>82</v>
      </c>
      <c r="J31" s="5" t="s">
        <v>82</v>
      </c>
      <c r="K31" s="5" t="s">
        <v>83</v>
      </c>
      <c r="L31" s="5" t="s">
        <v>84</v>
      </c>
      <c r="M31" s="5" t="s">
        <v>85</v>
      </c>
      <c r="N31" s="5" t="s">
        <v>85</v>
      </c>
      <c r="O31" s="5" t="s">
        <v>86</v>
      </c>
      <c r="P31" s="5" t="s">
        <v>87</v>
      </c>
      <c r="Q31" s="5" t="s">
        <v>88</v>
      </c>
      <c r="R31" s="5" t="s">
        <v>89</v>
      </c>
      <c r="S31" s="5" t="s">
        <v>90</v>
      </c>
      <c r="T31" s="5" t="s">
        <v>91</v>
      </c>
      <c r="U31" s="5" t="s">
        <v>92</v>
      </c>
      <c r="V31" s="5">
        <v>0</v>
      </c>
      <c r="W31" s="5" t="s">
        <v>93</v>
      </c>
      <c r="X31" s="5" t="s">
        <v>313</v>
      </c>
      <c r="Y31" s="5" t="s">
        <v>314</v>
      </c>
      <c r="Z31" s="5" t="s">
        <v>315</v>
      </c>
      <c r="AA31" s="5" t="s">
        <v>97</v>
      </c>
      <c r="AB31" s="5"/>
      <c r="AC31" s="5" t="s">
        <v>98</v>
      </c>
      <c r="AD31" s="5" t="s">
        <v>86</v>
      </c>
      <c r="AE31" s="5">
        <v>0</v>
      </c>
      <c r="AF31" s="5" t="s">
        <v>99</v>
      </c>
      <c r="AG31" s="5" t="s">
        <v>100</v>
      </c>
      <c r="AH31" s="5"/>
      <c r="AI31" s="5" t="s">
        <v>86</v>
      </c>
      <c r="AJ31" s="5" t="s">
        <v>86</v>
      </c>
      <c r="AK31" s="5"/>
      <c r="AL31" s="5" t="s">
        <v>86</v>
      </c>
      <c r="AM31" s="5" t="s">
        <v>101</v>
      </c>
    </row>
  </sheetData>
  <conditionalFormatting sqref="S2:S31">
    <cfRule type="cellIs" dxfId="100" priority="1" operator="equal">
      <formula>"Critical"</formula>
    </cfRule>
    <cfRule type="cellIs" dxfId="99" priority="2" operator="equal">
      <formula>"High"</formula>
    </cfRule>
  </conditionalFormatting>
  <conditionalFormatting sqref="U2:U31">
    <cfRule type="cellIs" dxfId="98" priority="3" operator="equal">
      <formula>"Blocked"</formula>
    </cfRule>
  </conditionalFormatting>
  <dataValidations count="16">
    <dataValidation type="list" allowBlank="1" sqref="D2:D31" xr:uid="{00000000-0002-0000-0200-000000000000}">
      <formula1>"Basic,Standard,Enhanced"</formula1>
    </dataValidation>
    <dataValidation type="list" allowBlank="1" sqref="E2:E31" xr:uid="{00000000-0002-0000-0200-000001000000}">
      <formula1>"Low,Medium,High,Critical"</formula1>
    </dataValidation>
    <dataValidation type="list" allowBlank="1" sqref="F2:F31" xr:uid="{00000000-0002-0000-0200-000002000000}">
      <formula1>"Critical / High Residual Risk,Overdue Remediation,Security Incident,Control Failure,SLA / Performance Failure,Expired Risk Acceptance,Regulatory / Compliance Change,Material Vendor Change,Audit Finding,Other"</formula1>
    </dataValidation>
    <dataValidation type="list" allowBlank="1" sqref="K2:K31" xr:uid="{00000000-0002-0000-0200-000003000000}">
      <formula1>"Level 1 — Vendor Owner,Level 2 — GRC Manager,Level 3 — CISO / Security Head,Level 4 — Executive Management"</formula1>
    </dataValidation>
    <dataValidation type="list" allowBlank="1" sqref="O2:O31" xr:uid="{00000000-0002-0000-0200-000004000000}">
      <formula1>"Pending,Approved,Conditionally Approved,Rejected,Deferred"</formula1>
    </dataValidation>
    <dataValidation type="list" allowBlank="1" sqref="P2:P31" xr:uid="{00000000-0002-0000-0200-000005000000}">
      <formula1>"Corrective Action,Risk Treatment,Risk Acceptance Review,Contractual Action,Service Improvement,Control Validation"</formula1>
    </dataValidation>
    <dataValidation type="list" allowBlank="1" sqref="Q2:Q31" xr:uid="{00000000-0002-0000-0200-000006000000}">
      <formula1>"Vendor Manager,Security Owner,GRC Analyst,Business Owner,Executive Sponsor"</formula1>
    </dataValidation>
    <dataValidation type="list" allowBlank="1" sqref="R2:R31" xr:uid="{00000000-0002-0000-0200-000007000000}">
      <formula1>"Vendor Manager,Security Owner,GRC Analyst,Business Owner"</formula1>
    </dataValidation>
    <dataValidation type="list" allowBlank="1" sqref="S2:S31" xr:uid="{00000000-0002-0000-0200-000008000000}">
      <formula1>"Critical,High,Medium,Low"</formula1>
    </dataValidation>
    <dataValidation type="list" allowBlank="1" sqref="U2:U31" xr:uid="{00000000-0002-0000-0200-000009000000}">
      <formula1>"Open,In Progress,Blocked,Pending Validation,Closed,Deferred"</formula1>
    </dataValidation>
    <dataValidation type="list" allowBlank="1" sqref="W2:W31" xr:uid="{00000000-0002-0000-0200-00000A000000}">
      <formula1>"None,Vendor Dependency,Business Dependency,Security Dependency,Contract Dependency"</formula1>
    </dataValidation>
    <dataValidation type="list" allowBlank="1" sqref="AB2:AB31" xr:uid="{00000000-0002-0000-0200-00000B000000}">
      <formula1>"Pending,Received,Accepted,Rejected,Not Applicable"</formula1>
    </dataValidation>
    <dataValidation type="list" allowBlank="1" sqref="AC2:AC31 AL2:AL31 AF2:AF31" xr:uid="{00000000-0002-0000-0200-00000C000000}">
      <formula1>"Yes,No"</formula1>
    </dataValidation>
    <dataValidation type="list" allowBlank="1" sqref="AD2:AD31" xr:uid="{00000000-0002-0000-0200-00000D000000}">
      <formula1>"Pending,In Progress,Verified,Rejected,Not Applicable"</formula1>
    </dataValidation>
    <dataValidation type="list" allowBlank="1" sqref="AG2:AG31" xr:uid="{00000000-0002-0000-0200-00000F000000}">
      <formula1>"GRC Manager,Security Head,CISO,Risk Committee,Executive Management"</formula1>
    </dataValidation>
    <dataValidation type="list" allowBlank="1" sqref="AI2:AI31" xr:uid="{00000000-0002-0000-0200-000010000000}">
      <formula1>"Pending,Resolved,Accepted,Transferred,Closed"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Q31"/>
  <sheetViews>
    <sheetView showGridLines="0" workbookViewId="0">
      <pane ySplit="1" topLeftCell="A2" activePane="bottomLeft" state="frozen"/>
      <selection pane="bottomLeft" activeCell="E20" sqref="A2:Q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26" customWidth="1"/>
    <col min="6" max="6" width="24" customWidth="1"/>
    <col min="7" max="7" width="28" customWidth="1"/>
    <col min="8" max="8" width="16" customWidth="1"/>
    <col min="9" max="9" width="65" customWidth="1"/>
    <col min="10" max="10" width="60" customWidth="1"/>
    <col min="11" max="11" width="18" customWidth="1"/>
    <col min="12" max="12" width="22" customWidth="1"/>
    <col min="13" max="13" width="24" customWidth="1"/>
    <col min="14" max="14" width="60" customWidth="1"/>
    <col min="15" max="15" width="45" customWidth="1"/>
    <col min="16" max="16" width="18" customWidth="1"/>
    <col min="17" max="17" width="50" customWidth="1"/>
  </cols>
  <sheetData>
    <row r="1" spans="1:17" ht="48" customHeight="1" x14ac:dyDescent="0.3">
      <c r="A1" s="1" t="s">
        <v>316</v>
      </c>
      <c r="B1" s="1" t="s">
        <v>36</v>
      </c>
      <c r="C1" s="1" t="s">
        <v>37</v>
      </c>
      <c r="D1" s="1" t="s">
        <v>38</v>
      </c>
      <c r="E1" s="1" t="s">
        <v>46</v>
      </c>
      <c r="F1" s="1" t="s">
        <v>317</v>
      </c>
      <c r="G1" s="1" t="s">
        <v>67</v>
      </c>
      <c r="H1" s="1" t="s">
        <v>49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62</v>
      </c>
      <c r="P1" s="1" t="s">
        <v>8</v>
      </c>
      <c r="Q1" s="1" t="s">
        <v>324</v>
      </c>
    </row>
    <row r="2" spans="1:17" x14ac:dyDescent="0.3">
      <c r="A2" s="7" t="s">
        <v>325</v>
      </c>
      <c r="B2" s="7" t="s">
        <v>74</v>
      </c>
      <c r="C2" s="7" t="s">
        <v>75</v>
      </c>
      <c r="D2" s="7" t="s">
        <v>76</v>
      </c>
      <c r="E2" s="7" t="s">
        <v>83</v>
      </c>
      <c r="F2" s="7" t="s">
        <v>88</v>
      </c>
      <c r="G2" s="7" t="s">
        <v>100</v>
      </c>
      <c r="H2" s="7" t="s">
        <v>85</v>
      </c>
      <c r="I2" s="7" t="s">
        <v>326</v>
      </c>
      <c r="J2" s="7" t="s">
        <v>327</v>
      </c>
      <c r="K2" s="7" t="s">
        <v>328</v>
      </c>
      <c r="L2" s="7"/>
      <c r="M2" s="7" t="s">
        <v>86</v>
      </c>
      <c r="N2" s="7" t="s">
        <v>329</v>
      </c>
      <c r="O2" s="7" t="s">
        <v>86</v>
      </c>
      <c r="P2" s="7" t="s">
        <v>92</v>
      </c>
      <c r="Q2" s="7" t="s">
        <v>330</v>
      </c>
    </row>
    <row r="3" spans="1:17" x14ac:dyDescent="0.3">
      <c r="A3" s="7" t="s">
        <v>331</v>
      </c>
      <c r="B3" s="7" t="s">
        <v>102</v>
      </c>
      <c r="C3" s="7" t="s">
        <v>103</v>
      </c>
      <c r="D3" s="7" t="s">
        <v>104</v>
      </c>
      <c r="E3" s="7" t="s">
        <v>83</v>
      </c>
      <c r="F3" s="7" t="s">
        <v>88</v>
      </c>
      <c r="G3" s="7" t="s">
        <v>100</v>
      </c>
      <c r="H3" s="7" t="s">
        <v>85</v>
      </c>
      <c r="I3" s="7" t="s">
        <v>326</v>
      </c>
      <c r="J3" s="7" t="s">
        <v>327</v>
      </c>
      <c r="K3" s="7" t="s">
        <v>328</v>
      </c>
      <c r="L3" s="7"/>
      <c r="M3" s="7" t="s">
        <v>86</v>
      </c>
      <c r="N3" s="7" t="s">
        <v>329</v>
      </c>
      <c r="O3" s="7" t="s">
        <v>86</v>
      </c>
      <c r="P3" s="7" t="s">
        <v>92</v>
      </c>
      <c r="Q3" s="7" t="s">
        <v>330</v>
      </c>
    </row>
    <row r="4" spans="1:17" x14ac:dyDescent="0.3">
      <c r="A4" s="7" t="s">
        <v>332</v>
      </c>
      <c r="B4" s="7" t="s">
        <v>111</v>
      </c>
      <c r="C4" s="7" t="s">
        <v>112</v>
      </c>
      <c r="D4" s="7" t="s">
        <v>113</v>
      </c>
      <c r="E4" s="7" t="s">
        <v>83</v>
      </c>
      <c r="F4" s="7" t="s">
        <v>88</v>
      </c>
      <c r="G4" s="7" t="s">
        <v>100</v>
      </c>
      <c r="H4" s="7" t="s">
        <v>85</v>
      </c>
      <c r="I4" s="7" t="s">
        <v>326</v>
      </c>
      <c r="J4" s="7" t="s">
        <v>327</v>
      </c>
      <c r="K4" s="7" t="s">
        <v>328</v>
      </c>
      <c r="L4" s="7"/>
      <c r="M4" s="7" t="s">
        <v>86</v>
      </c>
      <c r="N4" s="7" t="s">
        <v>329</v>
      </c>
      <c r="O4" s="7" t="s">
        <v>86</v>
      </c>
      <c r="P4" s="7" t="s">
        <v>92</v>
      </c>
      <c r="Q4" s="7" t="s">
        <v>330</v>
      </c>
    </row>
    <row r="5" spans="1:17" x14ac:dyDescent="0.3">
      <c r="A5" s="7" t="s">
        <v>333</v>
      </c>
      <c r="B5" s="7" t="s">
        <v>119</v>
      </c>
      <c r="C5" s="7" t="s">
        <v>120</v>
      </c>
      <c r="D5" s="7" t="s">
        <v>121</v>
      </c>
      <c r="E5" s="7" t="s">
        <v>83</v>
      </c>
      <c r="F5" s="7" t="s">
        <v>88</v>
      </c>
      <c r="G5" s="7" t="s">
        <v>100</v>
      </c>
      <c r="H5" s="7" t="s">
        <v>85</v>
      </c>
      <c r="I5" s="7" t="s">
        <v>326</v>
      </c>
      <c r="J5" s="7" t="s">
        <v>327</v>
      </c>
      <c r="K5" s="7" t="s">
        <v>328</v>
      </c>
      <c r="L5" s="7"/>
      <c r="M5" s="7" t="s">
        <v>86</v>
      </c>
      <c r="N5" s="7" t="s">
        <v>329</v>
      </c>
      <c r="O5" s="7" t="s">
        <v>86</v>
      </c>
      <c r="P5" s="7" t="s">
        <v>92</v>
      </c>
      <c r="Q5" s="7" t="s">
        <v>330</v>
      </c>
    </row>
    <row r="6" spans="1:17" x14ac:dyDescent="0.3">
      <c r="A6" s="7" t="s">
        <v>334</v>
      </c>
      <c r="B6" s="7" t="s">
        <v>127</v>
      </c>
      <c r="C6" s="7" t="s">
        <v>128</v>
      </c>
      <c r="D6" s="7" t="s">
        <v>129</v>
      </c>
      <c r="E6" s="7" t="s">
        <v>83</v>
      </c>
      <c r="F6" s="7" t="s">
        <v>88</v>
      </c>
      <c r="G6" s="7" t="s">
        <v>100</v>
      </c>
      <c r="H6" s="7" t="s">
        <v>85</v>
      </c>
      <c r="I6" s="7" t="s">
        <v>326</v>
      </c>
      <c r="J6" s="7" t="s">
        <v>327</v>
      </c>
      <c r="K6" s="7" t="s">
        <v>328</v>
      </c>
      <c r="L6" s="7"/>
      <c r="M6" s="7" t="s">
        <v>86</v>
      </c>
      <c r="N6" s="7" t="s">
        <v>329</v>
      </c>
      <c r="O6" s="7" t="s">
        <v>86</v>
      </c>
      <c r="P6" s="7" t="s">
        <v>92</v>
      </c>
      <c r="Q6" s="7" t="s">
        <v>330</v>
      </c>
    </row>
    <row r="7" spans="1:17" x14ac:dyDescent="0.3">
      <c r="A7" s="7" t="s">
        <v>335</v>
      </c>
      <c r="B7" s="7" t="s">
        <v>135</v>
      </c>
      <c r="C7" s="7" t="s">
        <v>136</v>
      </c>
      <c r="D7" s="7" t="s">
        <v>137</v>
      </c>
      <c r="E7" s="7" t="s">
        <v>83</v>
      </c>
      <c r="F7" s="7" t="s">
        <v>88</v>
      </c>
      <c r="G7" s="7" t="s">
        <v>100</v>
      </c>
      <c r="H7" s="7" t="s">
        <v>85</v>
      </c>
      <c r="I7" s="7" t="s">
        <v>326</v>
      </c>
      <c r="J7" s="7" t="s">
        <v>327</v>
      </c>
      <c r="K7" s="7" t="s">
        <v>328</v>
      </c>
      <c r="L7" s="7"/>
      <c r="M7" s="7" t="s">
        <v>86</v>
      </c>
      <c r="N7" s="7" t="s">
        <v>329</v>
      </c>
      <c r="O7" s="7" t="s">
        <v>86</v>
      </c>
      <c r="P7" s="7" t="s">
        <v>92</v>
      </c>
      <c r="Q7" s="7" t="s">
        <v>330</v>
      </c>
    </row>
    <row r="8" spans="1:17" x14ac:dyDescent="0.3">
      <c r="A8" s="7" t="s">
        <v>336</v>
      </c>
      <c r="B8" s="7" t="s">
        <v>143</v>
      </c>
      <c r="C8" s="7" t="s">
        <v>144</v>
      </c>
      <c r="D8" s="7" t="s">
        <v>145</v>
      </c>
      <c r="E8" s="7" t="s">
        <v>83</v>
      </c>
      <c r="F8" s="7" t="s">
        <v>88</v>
      </c>
      <c r="G8" s="7" t="s">
        <v>100</v>
      </c>
      <c r="H8" s="7" t="s">
        <v>85</v>
      </c>
      <c r="I8" s="7" t="s">
        <v>326</v>
      </c>
      <c r="J8" s="7" t="s">
        <v>327</v>
      </c>
      <c r="K8" s="7" t="s">
        <v>328</v>
      </c>
      <c r="L8" s="7"/>
      <c r="M8" s="7" t="s">
        <v>86</v>
      </c>
      <c r="N8" s="7" t="s">
        <v>329</v>
      </c>
      <c r="O8" s="7" t="s">
        <v>86</v>
      </c>
      <c r="P8" s="7" t="s">
        <v>92</v>
      </c>
      <c r="Q8" s="7" t="s">
        <v>330</v>
      </c>
    </row>
    <row r="9" spans="1:17" x14ac:dyDescent="0.3">
      <c r="A9" s="7" t="s">
        <v>337</v>
      </c>
      <c r="B9" s="7" t="s">
        <v>151</v>
      </c>
      <c r="C9" s="7" t="s">
        <v>152</v>
      </c>
      <c r="D9" s="7" t="s">
        <v>153</v>
      </c>
      <c r="E9" s="7" t="s">
        <v>83</v>
      </c>
      <c r="F9" s="7" t="s">
        <v>88</v>
      </c>
      <c r="G9" s="7" t="s">
        <v>100</v>
      </c>
      <c r="H9" s="7" t="s">
        <v>85</v>
      </c>
      <c r="I9" s="7" t="s">
        <v>326</v>
      </c>
      <c r="J9" s="7" t="s">
        <v>327</v>
      </c>
      <c r="K9" s="7" t="s">
        <v>328</v>
      </c>
      <c r="L9" s="7"/>
      <c r="M9" s="7" t="s">
        <v>86</v>
      </c>
      <c r="N9" s="7" t="s">
        <v>329</v>
      </c>
      <c r="O9" s="7" t="s">
        <v>86</v>
      </c>
      <c r="P9" s="7" t="s">
        <v>92</v>
      </c>
      <c r="Q9" s="7" t="s">
        <v>330</v>
      </c>
    </row>
    <row r="10" spans="1:17" x14ac:dyDescent="0.3">
      <c r="A10" s="7" t="s">
        <v>338</v>
      </c>
      <c r="B10" s="7" t="s">
        <v>159</v>
      </c>
      <c r="C10" s="7" t="s">
        <v>160</v>
      </c>
      <c r="D10" s="7" t="s">
        <v>161</v>
      </c>
      <c r="E10" s="7" t="s">
        <v>83</v>
      </c>
      <c r="F10" s="7" t="s">
        <v>88</v>
      </c>
      <c r="G10" s="7" t="s">
        <v>100</v>
      </c>
      <c r="H10" s="7" t="s">
        <v>85</v>
      </c>
      <c r="I10" s="7" t="s">
        <v>326</v>
      </c>
      <c r="J10" s="7" t="s">
        <v>327</v>
      </c>
      <c r="K10" s="7" t="s">
        <v>328</v>
      </c>
      <c r="L10" s="7"/>
      <c r="M10" s="7" t="s">
        <v>86</v>
      </c>
      <c r="N10" s="7" t="s">
        <v>329</v>
      </c>
      <c r="O10" s="7" t="s">
        <v>86</v>
      </c>
      <c r="P10" s="7" t="s">
        <v>92</v>
      </c>
      <c r="Q10" s="7" t="s">
        <v>330</v>
      </c>
    </row>
    <row r="11" spans="1:17" x14ac:dyDescent="0.3">
      <c r="A11" s="7" t="s">
        <v>339</v>
      </c>
      <c r="B11" s="7" t="s">
        <v>167</v>
      </c>
      <c r="C11" s="7" t="s">
        <v>168</v>
      </c>
      <c r="D11" s="7" t="s">
        <v>169</v>
      </c>
      <c r="E11" s="7" t="s">
        <v>83</v>
      </c>
      <c r="F11" s="7" t="s">
        <v>88</v>
      </c>
      <c r="G11" s="7" t="s">
        <v>100</v>
      </c>
      <c r="H11" s="7" t="s">
        <v>85</v>
      </c>
      <c r="I11" s="7" t="s">
        <v>326</v>
      </c>
      <c r="J11" s="7" t="s">
        <v>327</v>
      </c>
      <c r="K11" s="7" t="s">
        <v>328</v>
      </c>
      <c r="L11" s="7"/>
      <c r="M11" s="7" t="s">
        <v>86</v>
      </c>
      <c r="N11" s="7" t="s">
        <v>329</v>
      </c>
      <c r="O11" s="7" t="s">
        <v>86</v>
      </c>
      <c r="P11" s="7" t="s">
        <v>92</v>
      </c>
      <c r="Q11" s="7" t="s">
        <v>330</v>
      </c>
    </row>
    <row r="12" spans="1:17" x14ac:dyDescent="0.3">
      <c r="A12" s="7" t="s">
        <v>340</v>
      </c>
      <c r="B12" s="7" t="s">
        <v>175</v>
      </c>
      <c r="C12" s="7" t="s">
        <v>176</v>
      </c>
      <c r="D12" s="7" t="s">
        <v>177</v>
      </c>
      <c r="E12" s="7" t="s">
        <v>83</v>
      </c>
      <c r="F12" s="7" t="s">
        <v>88</v>
      </c>
      <c r="G12" s="7" t="s">
        <v>100</v>
      </c>
      <c r="H12" s="7" t="s">
        <v>85</v>
      </c>
      <c r="I12" s="7" t="s">
        <v>326</v>
      </c>
      <c r="J12" s="7" t="s">
        <v>327</v>
      </c>
      <c r="K12" s="7" t="s">
        <v>328</v>
      </c>
      <c r="L12" s="7"/>
      <c r="M12" s="7" t="s">
        <v>86</v>
      </c>
      <c r="N12" s="7" t="s">
        <v>329</v>
      </c>
      <c r="O12" s="7" t="s">
        <v>86</v>
      </c>
      <c r="P12" s="7" t="s">
        <v>92</v>
      </c>
      <c r="Q12" s="7" t="s">
        <v>330</v>
      </c>
    </row>
    <row r="13" spans="1:17" x14ac:dyDescent="0.3">
      <c r="A13" s="7" t="s">
        <v>341</v>
      </c>
      <c r="B13" s="7" t="s">
        <v>182</v>
      </c>
      <c r="C13" s="7" t="s">
        <v>183</v>
      </c>
      <c r="D13" s="7" t="s">
        <v>184</v>
      </c>
      <c r="E13" s="7" t="s">
        <v>83</v>
      </c>
      <c r="F13" s="7" t="s">
        <v>88</v>
      </c>
      <c r="G13" s="7" t="s">
        <v>100</v>
      </c>
      <c r="H13" s="7" t="s">
        <v>85</v>
      </c>
      <c r="I13" s="7" t="s">
        <v>326</v>
      </c>
      <c r="J13" s="7" t="s">
        <v>327</v>
      </c>
      <c r="K13" s="7" t="s">
        <v>328</v>
      </c>
      <c r="L13" s="7"/>
      <c r="M13" s="7" t="s">
        <v>86</v>
      </c>
      <c r="N13" s="7" t="s">
        <v>329</v>
      </c>
      <c r="O13" s="7" t="s">
        <v>86</v>
      </c>
      <c r="P13" s="7" t="s">
        <v>92</v>
      </c>
      <c r="Q13" s="7" t="s">
        <v>330</v>
      </c>
    </row>
    <row r="14" spans="1:17" x14ac:dyDescent="0.3">
      <c r="A14" s="7" t="s">
        <v>342</v>
      </c>
      <c r="B14" s="7" t="s">
        <v>189</v>
      </c>
      <c r="C14" s="7" t="s">
        <v>190</v>
      </c>
      <c r="D14" s="7" t="s">
        <v>191</v>
      </c>
      <c r="E14" s="7" t="s">
        <v>83</v>
      </c>
      <c r="F14" s="7" t="s">
        <v>88</v>
      </c>
      <c r="G14" s="7" t="s">
        <v>100</v>
      </c>
      <c r="H14" s="7" t="s">
        <v>85</v>
      </c>
      <c r="I14" s="7" t="s">
        <v>326</v>
      </c>
      <c r="J14" s="7" t="s">
        <v>327</v>
      </c>
      <c r="K14" s="7" t="s">
        <v>328</v>
      </c>
      <c r="L14" s="7"/>
      <c r="M14" s="7" t="s">
        <v>86</v>
      </c>
      <c r="N14" s="7" t="s">
        <v>329</v>
      </c>
      <c r="O14" s="7" t="s">
        <v>86</v>
      </c>
      <c r="P14" s="7" t="s">
        <v>92</v>
      </c>
      <c r="Q14" s="7" t="s">
        <v>330</v>
      </c>
    </row>
    <row r="15" spans="1:17" x14ac:dyDescent="0.3">
      <c r="A15" s="7" t="s">
        <v>343</v>
      </c>
      <c r="B15" s="7" t="s">
        <v>196</v>
      </c>
      <c r="C15" s="7" t="s">
        <v>197</v>
      </c>
      <c r="D15" s="7" t="s">
        <v>198</v>
      </c>
      <c r="E15" s="7" t="s">
        <v>83</v>
      </c>
      <c r="F15" s="7" t="s">
        <v>88</v>
      </c>
      <c r="G15" s="7" t="s">
        <v>100</v>
      </c>
      <c r="H15" s="7" t="s">
        <v>85</v>
      </c>
      <c r="I15" s="7" t="s">
        <v>326</v>
      </c>
      <c r="J15" s="7" t="s">
        <v>327</v>
      </c>
      <c r="K15" s="7" t="s">
        <v>328</v>
      </c>
      <c r="L15" s="7"/>
      <c r="M15" s="7" t="s">
        <v>86</v>
      </c>
      <c r="N15" s="7" t="s">
        <v>329</v>
      </c>
      <c r="O15" s="7" t="s">
        <v>86</v>
      </c>
      <c r="P15" s="7" t="s">
        <v>92</v>
      </c>
      <c r="Q15" s="7" t="s">
        <v>330</v>
      </c>
    </row>
    <row r="16" spans="1:17" x14ac:dyDescent="0.3">
      <c r="A16" s="7" t="s">
        <v>344</v>
      </c>
      <c r="B16" s="7" t="s">
        <v>203</v>
      </c>
      <c r="C16" s="7" t="s">
        <v>204</v>
      </c>
      <c r="D16" s="7" t="s">
        <v>205</v>
      </c>
      <c r="E16" s="7" t="s">
        <v>83</v>
      </c>
      <c r="F16" s="7" t="s">
        <v>88</v>
      </c>
      <c r="G16" s="7" t="s">
        <v>100</v>
      </c>
      <c r="H16" s="7" t="s">
        <v>85</v>
      </c>
      <c r="I16" s="7" t="s">
        <v>326</v>
      </c>
      <c r="J16" s="7" t="s">
        <v>327</v>
      </c>
      <c r="K16" s="7" t="s">
        <v>328</v>
      </c>
      <c r="L16" s="7"/>
      <c r="M16" s="7" t="s">
        <v>86</v>
      </c>
      <c r="N16" s="7" t="s">
        <v>329</v>
      </c>
      <c r="O16" s="7" t="s">
        <v>86</v>
      </c>
      <c r="P16" s="7" t="s">
        <v>92</v>
      </c>
      <c r="Q16" s="7" t="s">
        <v>330</v>
      </c>
    </row>
    <row r="17" spans="1:17" x14ac:dyDescent="0.3">
      <c r="A17" s="7" t="s">
        <v>345</v>
      </c>
      <c r="B17" s="7" t="s">
        <v>210</v>
      </c>
      <c r="C17" s="7" t="s">
        <v>211</v>
      </c>
      <c r="D17" s="7" t="s">
        <v>212</v>
      </c>
      <c r="E17" s="7" t="s">
        <v>83</v>
      </c>
      <c r="F17" s="7" t="s">
        <v>88</v>
      </c>
      <c r="G17" s="7" t="s">
        <v>100</v>
      </c>
      <c r="H17" s="7" t="s">
        <v>85</v>
      </c>
      <c r="I17" s="7" t="s">
        <v>326</v>
      </c>
      <c r="J17" s="7" t="s">
        <v>327</v>
      </c>
      <c r="K17" s="7" t="s">
        <v>328</v>
      </c>
      <c r="L17" s="7"/>
      <c r="M17" s="7" t="s">
        <v>86</v>
      </c>
      <c r="N17" s="7" t="s">
        <v>329</v>
      </c>
      <c r="O17" s="7" t="s">
        <v>86</v>
      </c>
      <c r="P17" s="7" t="s">
        <v>92</v>
      </c>
      <c r="Q17" s="7" t="s">
        <v>330</v>
      </c>
    </row>
    <row r="18" spans="1:17" x14ac:dyDescent="0.3">
      <c r="A18" s="7" t="s">
        <v>346</v>
      </c>
      <c r="B18" s="7" t="s">
        <v>218</v>
      </c>
      <c r="C18" s="7" t="s">
        <v>219</v>
      </c>
      <c r="D18" s="7" t="s">
        <v>220</v>
      </c>
      <c r="E18" s="7" t="s">
        <v>83</v>
      </c>
      <c r="F18" s="7" t="s">
        <v>88</v>
      </c>
      <c r="G18" s="7" t="s">
        <v>100</v>
      </c>
      <c r="H18" s="7" t="s">
        <v>85</v>
      </c>
      <c r="I18" s="7" t="s">
        <v>326</v>
      </c>
      <c r="J18" s="7" t="s">
        <v>327</v>
      </c>
      <c r="K18" s="7" t="s">
        <v>328</v>
      </c>
      <c r="L18" s="7"/>
      <c r="M18" s="7" t="s">
        <v>86</v>
      </c>
      <c r="N18" s="7" t="s">
        <v>329</v>
      </c>
      <c r="O18" s="7" t="s">
        <v>86</v>
      </c>
      <c r="P18" s="7" t="s">
        <v>92</v>
      </c>
      <c r="Q18" s="7" t="s">
        <v>330</v>
      </c>
    </row>
    <row r="19" spans="1:17" x14ac:dyDescent="0.3">
      <c r="A19" s="7" t="s">
        <v>347</v>
      </c>
      <c r="B19" s="7" t="s">
        <v>225</v>
      </c>
      <c r="C19" s="7" t="s">
        <v>226</v>
      </c>
      <c r="D19" s="7" t="s">
        <v>227</v>
      </c>
      <c r="E19" s="7" t="s">
        <v>83</v>
      </c>
      <c r="F19" s="7" t="s">
        <v>88</v>
      </c>
      <c r="G19" s="7" t="s">
        <v>100</v>
      </c>
      <c r="H19" s="7" t="s">
        <v>85</v>
      </c>
      <c r="I19" s="7" t="s">
        <v>326</v>
      </c>
      <c r="J19" s="7" t="s">
        <v>327</v>
      </c>
      <c r="K19" s="7" t="s">
        <v>328</v>
      </c>
      <c r="L19" s="7"/>
      <c r="M19" s="7" t="s">
        <v>86</v>
      </c>
      <c r="N19" s="7" t="s">
        <v>329</v>
      </c>
      <c r="O19" s="7" t="s">
        <v>86</v>
      </c>
      <c r="P19" s="7" t="s">
        <v>92</v>
      </c>
      <c r="Q19" s="7" t="s">
        <v>330</v>
      </c>
    </row>
    <row r="20" spans="1:17" x14ac:dyDescent="0.3">
      <c r="A20" s="7" t="s">
        <v>348</v>
      </c>
      <c r="B20" s="7" t="s">
        <v>232</v>
      </c>
      <c r="C20" s="7" t="s">
        <v>233</v>
      </c>
      <c r="D20" s="7" t="s">
        <v>234</v>
      </c>
      <c r="E20" s="7" t="s">
        <v>83</v>
      </c>
      <c r="F20" s="7" t="s">
        <v>88</v>
      </c>
      <c r="G20" s="7" t="s">
        <v>100</v>
      </c>
      <c r="H20" s="7" t="s">
        <v>85</v>
      </c>
      <c r="I20" s="7" t="s">
        <v>326</v>
      </c>
      <c r="J20" s="7" t="s">
        <v>327</v>
      </c>
      <c r="K20" s="7" t="s">
        <v>328</v>
      </c>
      <c r="L20" s="7"/>
      <c r="M20" s="7" t="s">
        <v>86</v>
      </c>
      <c r="N20" s="7" t="s">
        <v>329</v>
      </c>
      <c r="O20" s="7" t="s">
        <v>86</v>
      </c>
      <c r="P20" s="7" t="s">
        <v>92</v>
      </c>
      <c r="Q20" s="7" t="s">
        <v>330</v>
      </c>
    </row>
    <row r="21" spans="1:17" x14ac:dyDescent="0.3">
      <c r="A21" s="7" t="s">
        <v>349</v>
      </c>
      <c r="B21" s="7" t="s">
        <v>239</v>
      </c>
      <c r="C21" s="7" t="s">
        <v>240</v>
      </c>
      <c r="D21" s="7" t="s">
        <v>241</v>
      </c>
      <c r="E21" s="7" t="s">
        <v>83</v>
      </c>
      <c r="F21" s="7" t="s">
        <v>88</v>
      </c>
      <c r="G21" s="7" t="s">
        <v>100</v>
      </c>
      <c r="H21" s="7" t="s">
        <v>85</v>
      </c>
      <c r="I21" s="7" t="s">
        <v>326</v>
      </c>
      <c r="J21" s="7" t="s">
        <v>327</v>
      </c>
      <c r="K21" s="7" t="s">
        <v>328</v>
      </c>
      <c r="L21" s="7"/>
      <c r="M21" s="7" t="s">
        <v>86</v>
      </c>
      <c r="N21" s="7" t="s">
        <v>329</v>
      </c>
      <c r="O21" s="7" t="s">
        <v>86</v>
      </c>
      <c r="P21" s="7" t="s">
        <v>92</v>
      </c>
      <c r="Q21" s="7" t="s">
        <v>330</v>
      </c>
    </row>
    <row r="22" spans="1:17" x14ac:dyDescent="0.3">
      <c r="A22" s="7" t="s">
        <v>350</v>
      </c>
      <c r="B22" s="7" t="s">
        <v>246</v>
      </c>
      <c r="C22" s="7" t="s">
        <v>247</v>
      </c>
      <c r="D22" s="7" t="s">
        <v>248</v>
      </c>
      <c r="E22" s="7" t="s">
        <v>83</v>
      </c>
      <c r="F22" s="7" t="s">
        <v>88</v>
      </c>
      <c r="G22" s="7" t="s">
        <v>100</v>
      </c>
      <c r="H22" s="7" t="s">
        <v>85</v>
      </c>
      <c r="I22" s="7" t="s">
        <v>326</v>
      </c>
      <c r="J22" s="7" t="s">
        <v>327</v>
      </c>
      <c r="K22" s="7" t="s">
        <v>328</v>
      </c>
      <c r="L22" s="7"/>
      <c r="M22" s="7" t="s">
        <v>86</v>
      </c>
      <c r="N22" s="7" t="s">
        <v>329</v>
      </c>
      <c r="O22" s="7" t="s">
        <v>86</v>
      </c>
      <c r="P22" s="7" t="s">
        <v>92</v>
      </c>
      <c r="Q22" s="7" t="s">
        <v>330</v>
      </c>
    </row>
    <row r="23" spans="1:17" x14ac:dyDescent="0.3">
      <c r="A23" s="7" t="s">
        <v>351</v>
      </c>
      <c r="B23" s="7" t="s">
        <v>253</v>
      </c>
      <c r="C23" s="7" t="s">
        <v>254</v>
      </c>
      <c r="D23" s="7" t="s">
        <v>255</v>
      </c>
      <c r="E23" s="7" t="s">
        <v>83</v>
      </c>
      <c r="F23" s="7" t="s">
        <v>88</v>
      </c>
      <c r="G23" s="7" t="s">
        <v>100</v>
      </c>
      <c r="H23" s="7" t="s">
        <v>85</v>
      </c>
      <c r="I23" s="7" t="s">
        <v>326</v>
      </c>
      <c r="J23" s="7" t="s">
        <v>327</v>
      </c>
      <c r="K23" s="7" t="s">
        <v>328</v>
      </c>
      <c r="L23" s="7"/>
      <c r="M23" s="7" t="s">
        <v>86</v>
      </c>
      <c r="N23" s="7" t="s">
        <v>329</v>
      </c>
      <c r="O23" s="7" t="s">
        <v>86</v>
      </c>
      <c r="P23" s="7" t="s">
        <v>92</v>
      </c>
      <c r="Q23" s="7" t="s">
        <v>330</v>
      </c>
    </row>
    <row r="24" spans="1:17" x14ac:dyDescent="0.3">
      <c r="A24" s="7" t="s">
        <v>352</v>
      </c>
      <c r="B24" s="7" t="s">
        <v>260</v>
      </c>
      <c r="C24" s="7" t="s">
        <v>261</v>
      </c>
      <c r="D24" s="7" t="s">
        <v>262</v>
      </c>
      <c r="E24" s="7" t="s">
        <v>83</v>
      </c>
      <c r="F24" s="7" t="s">
        <v>88</v>
      </c>
      <c r="G24" s="7" t="s">
        <v>100</v>
      </c>
      <c r="H24" s="7" t="s">
        <v>85</v>
      </c>
      <c r="I24" s="7" t="s">
        <v>326</v>
      </c>
      <c r="J24" s="7" t="s">
        <v>327</v>
      </c>
      <c r="K24" s="7" t="s">
        <v>328</v>
      </c>
      <c r="L24" s="7"/>
      <c r="M24" s="7" t="s">
        <v>86</v>
      </c>
      <c r="N24" s="7" t="s">
        <v>329</v>
      </c>
      <c r="O24" s="7" t="s">
        <v>86</v>
      </c>
      <c r="P24" s="7" t="s">
        <v>92</v>
      </c>
      <c r="Q24" s="7" t="s">
        <v>330</v>
      </c>
    </row>
    <row r="25" spans="1:17" x14ac:dyDescent="0.3">
      <c r="A25" s="7" t="s">
        <v>353</v>
      </c>
      <c r="B25" s="7" t="s">
        <v>267</v>
      </c>
      <c r="C25" s="7" t="s">
        <v>268</v>
      </c>
      <c r="D25" s="7" t="s">
        <v>269</v>
      </c>
      <c r="E25" s="7" t="s">
        <v>83</v>
      </c>
      <c r="F25" s="7" t="s">
        <v>88</v>
      </c>
      <c r="G25" s="7" t="s">
        <v>100</v>
      </c>
      <c r="H25" s="7" t="s">
        <v>85</v>
      </c>
      <c r="I25" s="7" t="s">
        <v>326</v>
      </c>
      <c r="J25" s="7" t="s">
        <v>327</v>
      </c>
      <c r="K25" s="7" t="s">
        <v>328</v>
      </c>
      <c r="L25" s="7"/>
      <c r="M25" s="7" t="s">
        <v>86</v>
      </c>
      <c r="N25" s="7" t="s">
        <v>329</v>
      </c>
      <c r="O25" s="7" t="s">
        <v>86</v>
      </c>
      <c r="P25" s="7" t="s">
        <v>92</v>
      </c>
      <c r="Q25" s="7" t="s">
        <v>330</v>
      </c>
    </row>
    <row r="26" spans="1:17" x14ac:dyDescent="0.3">
      <c r="A26" s="7" t="s">
        <v>354</v>
      </c>
      <c r="B26" s="7" t="s">
        <v>274</v>
      </c>
      <c r="C26" s="7" t="s">
        <v>275</v>
      </c>
      <c r="D26" s="7" t="s">
        <v>276</v>
      </c>
      <c r="E26" s="7" t="s">
        <v>83</v>
      </c>
      <c r="F26" s="7" t="s">
        <v>88</v>
      </c>
      <c r="G26" s="7" t="s">
        <v>100</v>
      </c>
      <c r="H26" s="7" t="s">
        <v>85</v>
      </c>
      <c r="I26" s="7" t="s">
        <v>326</v>
      </c>
      <c r="J26" s="7" t="s">
        <v>327</v>
      </c>
      <c r="K26" s="7" t="s">
        <v>328</v>
      </c>
      <c r="L26" s="7"/>
      <c r="M26" s="7" t="s">
        <v>86</v>
      </c>
      <c r="N26" s="7" t="s">
        <v>329</v>
      </c>
      <c r="O26" s="7" t="s">
        <v>86</v>
      </c>
      <c r="P26" s="7" t="s">
        <v>92</v>
      </c>
      <c r="Q26" s="7" t="s">
        <v>330</v>
      </c>
    </row>
    <row r="27" spans="1:17" x14ac:dyDescent="0.3">
      <c r="A27" s="7" t="s">
        <v>355</v>
      </c>
      <c r="B27" s="7" t="s">
        <v>281</v>
      </c>
      <c r="C27" s="7" t="s">
        <v>282</v>
      </c>
      <c r="D27" s="7" t="s">
        <v>283</v>
      </c>
      <c r="E27" s="7" t="s">
        <v>83</v>
      </c>
      <c r="F27" s="7" t="s">
        <v>88</v>
      </c>
      <c r="G27" s="7" t="s">
        <v>100</v>
      </c>
      <c r="H27" s="7" t="s">
        <v>85</v>
      </c>
      <c r="I27" s="7" t="s">
        <v>326</v>
      </c>
      <c r="J27" s="7" t="s">
        <v>327</v>
      </c>
      <c r="K27" s="7" t="s">
        <v>328</v>
      </c>
      <c r="L27" s="7"/>
      <c r="M27" s="7" t="s">
        <v>86</v>
      </c>
      <c r="N27" s="7" t="s">
        <v>329</v>
      </c>
      <c r="O27" s="7" t="s">
        <v>86</v>
      </c>
      <c r="P27" s="7" t="s">
        <v>92</v>
      </c>
      <c r="Q27" s="7" t="s">
        <v>330</v>
      </c>
    </row>
    <row r="28" spans="1:17" x14ac:dyDescent="0.3">
      <c r="A28" s="7" t="s">
        <v>356</v>
      </c>
      <c r="B28" s="7" t="s">
        <v>288</v>
      </c>
      <c r="C28" s="7" t="s">
        <v>289</v>
      </c>
      <c r="D28" s="7" t="s">
        <v>290</v>
      </c>
      <c r="E28" s="7" t="s">
        <v>83</v>
      </c>
      <c r="F28" s="7" t="s">
        <v>88</v>
      </c>
      <c r="G28" s="7" t="s">
        <v>100</v>
      </c>
      <c r="H28" s="7" t="s">
        <v>85</v>
      </c>
      <c r="I28" s="7" t="s">
        <v>326</v>
      </c>
      <c r="J28" s="7" t="s">
        <v>327</v>
      </c>
      <c r="K28" s="7" t="s">
        <v>328</v>
      </c>
      <c r="L28" s="7"/>
      <c r="M28" s="7" t="s">
        <v>86</v>
      </c>
      <c r="N28" s="7" t="s">
        <v>329</v>
      </c>
      <c r="O28" s="7" t="s">
        <v>86</v>
      </c>
      <c r="P28" s="7" t="s">
        <v>92</v>
      </c>
      <c r="Q28" s="7" t="s">
        <v>330</v>
      </c>
    </row>
    <row r="29" spans="1:17" x14ac:dyDescent="0.3">
      <c r="A29" s="7" t="s">
        <v>357</v>
      </c>
      <c r="B29" s="7" t="s">
        <v>295</v>
      </c>
      <c r="C29" s="7" t="s">
        <v>296</v>
      </c>
      <c r="D29" s="7" t="s">
        <v>297</v>
      </c>
      <c r="E29" s="7" t="s">
        <v>83</v>
      </c>
      <c r="F29" s="7" t="s">
        <v>88</v>
      </c>
      <c r="G29" s="7" t="s">
        <v>100</v>
      </c>
      <c r="H29" s="7" t="s">
        <v>85</v>
      </c>
      <c r="I29" s="7" t="s">
        <v>326</v>
      </c>
      <c r="J29" s="7" t="s">
        <v>327</v>
      </c>
      <c r="K29" s="7" t="s">
        <v>328</v>
      </c>
      <c r="L29" s="7"/>
      <c r="M29" s="7" t="s">
        <v>86</v>
      </c>
      <c r="N29" s="7" t="s">
        <v>329</v>
      </c>
      <c r="O29" s="7" t="s">
        <v>86</v>
      </c>
      <c r="P29" s="7" t="s">
        <v>92</v>
      </c>
      <c r="Q29" s="7" t="s">
        <v>330</v>
      </c>
    </row>
    <row r="30" spans="1:17" x14ac:dyDescent="0.3">
      <c r="A30" s="7" t="s">
        <v>358</v>
      </c>
      <c r="B30" s="7" t="s">
        <v>302</v>
      </c>
      <c r="C30" s="7" t="s">
        <v>303</v>
      </c>
      <c r="D30" s="7" t="s">
        <v>304</v>
      </c>
      <c r="E30" s="7" t="s">
        <v>83</v>
      </c>
      <c r="F30" s="7" t="s">
        <v>88</v>
      </c>
      <c r="G30" s="7" t="s">
        <v>100</v>
      </c>
      <c r="H30" s="7" t="s">
        <v>85</v>
      </c>
      <c r="I30" s="7" t="s">
        <v>326</v>
      </c>
      <c r="J30" s="7" t="s">
        <v>327</v>
      </c>
      <c r="K30" s="7" t="s">
        <v>328</v>
      </c>
      <c r="L30" s="7"/>
      <c r="M30" s="7" t="s">
        <v>86</v>
      </c>
      <c r="N30" s="7" t="s">
        <v>329</v>
      </c>
      <c r="O30" s="7" t="s">
        <v>86</v>
      </c>
      <c r="P30" s="7" t="s">
        <v>92</v>
      </c>
      <c r="Q30" s="7" t="s">
        <v>330</v>
      </c>
    </row>
    <row r="31" spans="1:17" x14ac:dyDescent="0.3">
      <c r="A31" s="7" t="s">
        <v>359</v>
      </c>
      <c r="B31" s="7" t="s">
        <v>309</v>
      </c>
      <c r="C31" s="7" t="s">
        <v>310</v>
      </c>
      <c r="D31" s="7" t="s">
        <v>311</v>
      </c>
      <c r="E31" s="7" t="s">
        <v>83</v>
      </c>
      <c r="F31" s="7" t="s">
        <v>88</v>
      </c>
      <c r="G31" s="7" t="s">
        <v>100</v>
      </c>
      <c r="H31" s="7" t="s">
        <v>85</v>
      </c>
      <c r="I31" s="7" t="s">
        <v>326</v>
      </c>
      <c r="J31" s="7" t="s">
        <v>327</v>
      </c>
      <c r="K31" s="7" t="s">
        <v>328</v>
      </c>
      <c r="L31" s="7"/>
      <c r="M31" s="7" t="s">
        <v>86</v>
      </c>
      <c r="N31" s="7" t="s">
        <v>329</v>
      </c>
      <c r="O31" s="7" t="s">
        <v>86</v>
      </c>
      <c r="P31" s="7" t="s">
        <v>92</v>
      </c>
      <c r="Q31" s="7" t="s">
        <v>330</v>
      </c>
    </row>
  </sheetData>
  <dataValidations count="3">
    <dataValidation type="list" allowBlank="1" sqref="E2:E31" xr:uid="{00000000-0002-0000-0300-000000000000}">
      <formula1>"Level 1 — Vendor Owner,Level 2 — GRC Manager,Level 3 — CISO / Security Head,Level 4 — Executive Management"</formula1>
    </dataValidation>
    <dataValidation type="list" allowBlank="1" sqref="M2:M31" xr:uid="{00000000-0002-0000-0300-000001000000}">
      <formula1>"Pending,Approved,Conditionally Approved,Rejected,Deferred"</formula1>
    </dataValidation>
    <dataValidation type="list" allowBlank="1" sqref="P2:P31" xr:uid="{00000000-0002-0000-0300-000002000000}">
      <formula1>"Open,In Progress,Resolved,Closed"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U31"/>
  <sheetViews>
    <sheetView showGridLines="0" workbookViewId="0">
      <pane ySplit="1" topLeftCell="A2" activePane="bottomLeft" state="frozen"/>
      <selection pane="bottomLeft" activeCell="E17" activeCellId="1" sqref="A1 A2:U31"/>
    </sheetView>
  </sheetViews>
  <sheetFormatPr defaultRowHeight="14.4" x14ac:dyDescent="0.3"/>
  <cols>
    <col min="1" max="1" width="22" customWidth="1"/>
    <col min="2" max="2" width="16" customWidth="1"/>
    <col min="3" max="3" width="13" customWidth="1"/>
    <col min="4" max="4" width="30" customWidth="1"/>
    <col min="5" max="5" width="28" customWidth="1"/>
    <col min="6" max="6" width="70" customWidth="1"/>
    <col min="7" max="7" width="24" customWidth="1"/>
    <col min="8" max="8" width="15" customWidth="1"/>
    <col min="9" max="10" width="16" customWidth="1"/>
    <col min="11" max="11" width="18" customWidth="1"/>
    <col min="12" max="12" width="14" customWidth="1"/>
    <col min="13" max="14" width="35" customWidth="1"/>
    <col min="15" max="16" width="45" customWidth="1"/>
    <col min="17" max="17" width="20" customWidth="1"/>
    <col min="18" max="18" width="18" customWidth="1"/>
    <col min="19" max="19" width="16" customWidth="1"/>
    <col min="20" max="20" width="45" customWidth="1"/>
    <col min="21" max="21" width="50" customWidth="1"/>
  </cols>
  <sheetData>
    <row r="1" spans="1:21" ht="48" customHeight="1" x14ac:dyDescent="0.3">
      <c r="A1" s="6" t="s">
        <v>360</v>
      </c>
      <c r="B1" s="1" t="s">
        <v>36</v>
      </c>
      <c r="C1" s="1" t="s">
        <v>37</v>
      </c>
      <c r="D1" s="1" t="s">
        <v>38</v>
      </c>
      <c r="E1" s="1" t="s">
        <v>361</v>
      </c>
      <c r="F1" s="1" t="s">
        <v>362</v>
      </c>
      <c r="G1" s="1" t="s">
        <v>363</v>
      </c>
      <c r="H1" s="1" t="s">
        <v>54</v>
      </c>
      <c r="I1" s="1" t="s">
        <v>364</v>
      </c>
      <c r="J1" s="1" t="s">
        <v>55</v>
      </c>
      <c r="K1" s="1" t="s">
        <v>8</v>
      </c>
      <c r="L1" s="1" t="s">
        <v>56</v>
      </c>
      <c r="M1" s="1" t="s">
        <v>365</v>
      </c>
      <c r="N1" s="1" t="s">
        <v>57</v>
      </c>
      <c r="O1" s="1" t="s">
        <v>61</v>
      </c>
      <c r="P1" s="1" t="s">
        <v>62</v>
      </c>
      <c r="Q1" s="1" t="s">
        <v>366</v>
      </c>
      <c r="R1" s="1" t="s">
        <v>367</v>
      </c>
      <c r="S1" s="1" t="s">
        <v>71</v>
      </c>
      <c r="T1" s="1" t="s">
        <v>368</v>
      </c>
      <c r="U1" s="1" t="s">
        <v>324</v>
      </c>
    </row>
    <row r="2" spans="1:21" x14ac:dyDescent="0.3">
      <c r="A2" s="7" t="s">
        <v>369</v>
      </c>
      <c r="B2" s="7" t="s">
        <v>74</v>
      </c>
      <c r="C2" s="7" t="s">
        <v>75</v>
      </c>
      <c r="D2" s="7" t="s">
        <v>76</v>
      </c>
      <c r="E2" s="7" t="s">
        <v>370</v>
      </c>
      <c r="F2" s="7" t="s">
        <v>371</v>
      </c>
      <c r="G2" s="7" t="s">
        <v>88</v>
      </c>
      <c r="H2" s="7" t="s">
        <v>90</v>
      </c>
      <c r="I2" s="7" t="s">
        <v>85</v>
      </c>
      <c r="J2" s="7" t="s">
        <v>91</v>
      </c>
      <c r="K2" s="7" t="s">
        <v>92</v>
      </c>
      <c r="L2" s="7">
        <v>0</v>
      </c>
      <c r="M2" s="7" t="s">
        <v>372</v>
      </c>
      <c r="N2" s="7" t="s">
        <v>373</v>
      </c>
      <c r="O2" s="7" t="s">
        <v>374</v>
      </c>
      <c r="P2" s="7"/>
      <c r="Q2" s="7" t="s">
        <v>86</v>
      </c>
      <c r="R2" s="7"/>
      <c r="S2" s="7"/>
      <c r="T2" s="7" t="s">
        <v>86</v>
      </c>
      <c r="U2" s="7" t="s">
        <v>375</v>
      </c>
    </row>
    <row r="3" spans="1:21" x14ac:dyDescent="0.3">
      <c r="A3" s="7" t="s">
        <v>376</v>
      </c>
      <c r="B3" s="7" t="s">
        <v>102</v>
      </c>
      <c r="C3" s="7" t="s">
        <v>103</v>
      </c>
      <c r="D3" s="7" t="s">
        <v>104</v>
      </c>
      <c r="E3" s="7" t="s">
        <v>377</v>
      </c>
      <c r="F3" s="7" t="s">
        <v>371</v>
      </c>
      <c r="G3" s="7" t="s">
        <v>88</v>
      </c>
      <c r="H3" s="7" t="s">
        <v>90</v>
      </c>
      <c r="I3" s="7" t="s">
        <v>85</v>
      </c>
      <c r="J3" s="7" t="s">
        <v>91</v>
      </c>
      <c r="K3" s="7" t="s">
        <v>92</v>
      </c>
      <c r="L3" s="7">
        <v>0</v>
      </c>
      <c r="M3" s="7" t="s">
        <v>372</v>
      </c>
      <c r="N3" s="7" t="s">
        <v>373</v>
      </c>
      <c r="O3" s="7" t="s">
        <v>374</v>
      </c>
      <c r="P3" s="7"/>
      <c r="Q3" s="7" t="s">
        <v>86</v>
      </c>
      <c r="R3" s="7"/>
      <c r="S3" s="7"/>
      <c r="T3" s="7" t="s">
        <v>86</v>
      </c>
      <c r="U3" s="7" t="s">
        <v>375</v>
      </c>
    </row>
    <row r="4" spans="1:21" x14ac:dyDescent="0.3">
      <c r="A4" s="7" t="s">
        <v>378</v>
      </c>
      <c r="B4" s="7" t="s">
        <v>111</v>
      </c>
      <c r="C4" s="7" t="s">
        <v>112</v>
      </c>
      <c r="D4" s="7" t="s">
        <v>113</v>
      </c>
      <c r="E4" s="7" t="s">
        <v>379</v>
      </c>
      <c r="F4" s="7" t="s">
        <v>371</v>
      </c>
      <c r="G4" s="7" t="s">
        <v>88</v>
      </c>
      <c r="H4" s="7" t="s">
        <v>90</v>
      </c>
      <c r="I4" s="7" t="s">
        <v>85</v>
      </c>
      <c r="J4" s="7" t="s">
        <v>91</v>
      </c>
      <c r="K4" s="7" t="s">
        <v>92</v>
      </c>
      <c r="L4" s="7">
        <v>0</v>
      </c>
      <c r="M4" s="7" t="s">
        <v>372</v>
      </c>
      <c r="N4" s="7" t="s">
        <v>373</v>
      </c>
      <c r="O4" s="7" t="s">
        <v>374</v>
      </c>
      <c r="P4" s="7"/>
      <c r="Q4" s="7" t="s">
        <v>86</v>
      </c>
      <c r="R4" s="7"/>
      <c r="S4" s="7"/>
      <c r="T4" s="7" t="s">
        <v>86</v>
      </c>
      <c r="U4" s="7" t="s">
        <v>375</v>
      </c>
    </row>
    <row r="5" spans="1:21" x14ac:dyDescent="0.3">
      <c r="A5" s="7" t="s">
        <v>380</v>
      </c>
      <c r="B5" s="7" t="s">
        <v>119</v>
      </c>
      <c r="C5" s="7" t="s">
        <v>120</v>
      </c>
      <c r="D5" s="7" t="s">
        <v>121</v>
      </c>
      <c r="E5" s="7" t="s">
        <v>381</v>
      </c>
      <c r="F5" s="7" t="s">
        <v>371</v>
      </c>
      <c r="G5" s="7" t="s">
        <v>88</v>
      </c>
      <c r="H5" s="7" t="s">
        <v>90</v>
      </c>
      <c r="I5" s="7" t="s">
        <v>85</v>
      </c>
      <c r="J5" s="7" t="s">
        <v>91</v>
      </c>
      <c r="K5" s="7" t="s">
        <v>92</v>
      </c>
      <c r="L5" s="7">
        <v>0</v>
      </c>
      <c r="M5" s="7" t="s">
        <v>372</v>
      </c>
      <c r="N5" s="7" t="s">
        <v>373</v>
      </c>
      <c r="O5" s="7" t="s">
        <v>374</v>
      </c>
      <c r="P5" s="7"/>
      <c r="Q5" s="7" t="s">
        <v>86</v>
      </c>
      <c r="R5" s="7"/>
      <c r="S5" s="7"/>
      <c r="T5" s="7" t="s">
        <v>86</v>
      </c>
      <c r="U5" s="7" t="s">
        <v>375</v>
      </c>
    </row>
    <row r="6" spans="1:21" x14ac:dyDescent="0.3">
      <c r="A6" s="7" t="s">
        <v>382</v>
      </c>
      <c r="B6" s="7" t="s">
        <v>127</v>
      </c>
      <c r="C6" s="7" t="s">
        <v>128</v>
      </c>
      <c r="D6" s="7" t="s">
        <v>129</v>
      </c>
      <c r="E6" s="7" t="s">
        <v>383</v>
      </c>
      <c r="F6" s="7" t="s">
        <v>371</v>
      </c>
      <c r="G6" s="7" t="s">
        <v>88</v>
      </c>
      <c r="H6" s="7" t="s">
        <v>90</v>
      </c>
      <c r="I6" s="7" t="s">
        <v>85</v>
      </c>
      <c r="J6" s="7" t="s">
        <v>91</v>
      </c>
      <c r="K6" s="7" t="s">
        <v>92</v>
      </c>
      <c r="L6" s="7">
        <v>0</v>
      </c>
      <c r="M6" s="7" t="s">
        <v>372</v>
      </c>
      <c r="N6" s="7" t="s">
        <v>373</v>
      </c>
      <c r="O6" s="7" t="s">
        <v>374</v>
      </c>
      <c r="P6" s="7"/>
      <c r="Q6" s="7" t="s">
        <v>86</v>
      </c>
      <c r="R6" s="7"/>
      <c r="S6" s="7"/>
      <c r="T6" s="7" t="s">
        <v>86</v>
      </c>
      <c r="U6" s="7" t="s">
        <v>375</v>
      </c>
    </row>
    <row r="7" spans="1:21" x14ac:dyDescent="0.3">
      <c r="A7" s="7" t="s">
        <v>384</v>
      </c>
      <c r="B7" s="7" t="s">
        <v>135</v>
      </c>
      <c r="C7" s="7" t="s">
        <v>136</v>
      </c>
      <c r="D7" s="7" t="s">
        <v>137</v>
      </c>
      <c r="E7" s="7" t="s">
        <v>385</v>
      </c>
      <c r="F7" s="7" t="s">
        <v>371</v>
      </c>
      <c r="G7" s="7" t="s">
        <v>88</v>
      </c>
      <c r="H7" s="7" t="s">
        <v>90</v>
      </c>
      <c r="I7" s="7" t="s">
        <v>85</v>
      </c>
      <c r="J7" s="7" t="s">
        <v>91</v>
      </c>
      <c r="K7" s="7" t="s">
        <v>92</v>
      </c>
      <c r="L7" s="7">
        <v>0</v>
      </c>
      <c r="M7" s="7" t="s">
        <v>372</v>
      </c>
      <c r="N7" s="7" t="s">
        <v>373</v>
      </c>
      <c r="O7" s="7" t="s">
        <v>374</v>
      </c>
      <c r="P7" s="7"/>
      <c r="Q7" s="7" t="s">
        <v>86</v>
      </c>
      <c r="R7" s="7"/>
      <c r="S7" s="7"/>
      <c r="T7" s="7" t="s">
        <v>86</v>
      </c>
      <c r="U7" s="7" t="s">
        <v>375</v>
      </c>
    </row>
    <row r="8" spans="1:21" x14ac:dyDescent="0.3">
      <c r="A8" s="7" t="s">
        <v>386</v>
      </c>
      <c r="B8" s="7" t="s">
        <v>143</v>
      </c>
      <c r="C8" s="7" t="s">
        <v>144</v>
      </c>
      <c r="D8" s="7" t="s">
        <v>145</v>
      </c>
      <c r="E8" s="7" t="s">
        <v>387</v>
      </c>
      <c r="F8" s="7" t="s">
        <v>371</v>
      </c>
      <c r="G8" s="7" t="s">
        <v>88</v>
      </c>
      <c r="H8" s="7" t="s">
        <v>90</v>
      </c>
      <c r="I8" s="7" t="s">
        <v>85</v>
      </c>
      <c r="J8" s="7" t="s">
        <v>91</v>
      </c>
      <c r="K8" s="7" t="s">
        <v>92</v>
      </c>
      <c r="L8" s="7">
        <v>0</v>
      </c>
      <c r="M8" s="7" t="s">
        <v>372</v>
      </c>
      <c r="N8" s="7" t="s">
        <v>373</v>
      </c>
      <c r="O8" s="7" t="s">
        <v>374</v>
      </c>
      <c r="P8" s="7"/>
      <c r="Q8" s="7" t="s">
        <v>86</v>
      </c>
      <c r="R8" s="7"/>
      <c r="S8" s="7"/>
      <c r="T8" s="7" t="s">
        <v>86</v>
      </c>
      <c r="U8" s="7" t="s">
        <v>375</v>
      </c>
    </row>
    <row r="9" spans="1:21" x14ac:dyDescent="0.3">
      <c r="A9" s="7" t="s">
        <v>388</v>
      </c>
      <c r="B9" s="7" t="s">
        <v>151</v>
      </c>
      <c r="C9" s="7" t="s">
        <v>152</v>
      </c>
      <c r="D9" s="7" t="s">
        <v>153</v>
      </c>
      <c r="E9" s="7" t="s">
        <v>370</v>
      </c>
      <c r="F9" s="7" t="s">
        <v>371</v>
      </c>
      <c r="G9" s="7" t="s">
        <v>88</v>
      </c>
      <c r="H9" s="7" t="s">
        <v>90</v>
      </c>
      <c r="I9" s="7" t="s">
        <v>85</v>
      </c>
      <c r="J9" s="7" t="s">
        <v>91</v>
      </c>
      <c r="K9" s="7" t="s">
        <v>92</v>
      </c>
      <c r="L9" s="7">
        <v>0</v>
      </c>
      <c r="M9" s="7" t="s">
        <v>372</v>
      </c>
      <c r="N9" s="7" t="s">
        <v>373</v>
      </c>
      <c r="O9" s="7" t="s">
        <v>374</v>
      </c>
      <c r="P9" s="7"/>
      <c r="Q9" s="7" t="s">
        <v>86</v>
      </c>
      <c r="R9" s="7"/>
      <c r="S9" s="7"/>
      <c r="T9" s="7" t="s">
        <v>86</v>
      </c>
      <c r="U9" s="7" t="s">
        <v>375</v>
      </c>
    </row>
    <row r="10" spans="1:21" x14ac:dyDescent="0.3">
      <c r="A10" s="7" t="s">
        <v>389</v>
      </c>
      <c r="B10" s="7" t="s">
        <v>159</v>
      </c>
      <c r="C10" s="7" t="s">
        <v>160</v>
      </c>
      <c r="D10" s="7" t="s">
        <v>161</v>
      </c>
      <c r="E10" s="7" t="s">
        <v>377</v>
      </c>
      <c r="F10" s="7" t="s">
        <v>371</v>
      </c>
      <c r="G10" s="7" t="s">
        <v>88</v>
      </c>
      <c r="H10" s="7" t="s">
        <v>90</v>
      </c>
      <c r="I10" s="7" t="s">
        <v>85</v>
      </c>
      <c r="J10" s="7" t="s">
        <v>91</v>
      </c>
      <c r="K10" s="7" t="s">
        <v>92</v>
      </c>
      <c r="L10" s="7">
        <v>0</v>
      </c>
      <c r="M10" s="7" t="s">
        <v>372</v>
      </c>
      <c r="N10" s="7" t="s">
        <v>373</v>
      </c>
      <c r="O10" s="7" t="s">
        <v>374</v>
      </c>
      <c r="P10" s="7"/>
      <c r="Q10" s="7" t="s">
        <v>86</v>
      </c>
      <c r="R10" s="7"/>
      <c r="S10" s="7"/>
      <c r="T10" s="7" t="s">
        <v>86</v>
      </c>
      <c r="U10" s="7" t="s">
        <v>375</v>
      </c>
    </row>
    <row r="11" spans="1:21" x14ac:dyDescent="0.3">
      <c r="A11" s="7" t="s">
        <v>390</v>
      </c>
      <c r="B11" s="7" t="s">
        <v>167</v>
      </c>
      <c r="C11" s="7" t="s">
        <v>168</v>
      </c>
      <c r="D11" s="7" t="s">
        <v>169</v>
      </c>
      <c r="E11" s="7" t="s">
        <v>379</v>
      </c>
      <c r="F11" s="7" t="s">
        <v>371</v>
      </c>
      <c r="G11" s="7" t="s">
        <v>88</v>
      </c>
      <c r="H11" s="7" t="s">
        <v>90</v>
      </c>
      <c r="I11" s="7" t="s">
        <v>85</v>
      </c>
      <c r="J11" s="7" t="s">
        <v>91</v>
      </c>
      <c r="K11" s="7" t="s">
        <v>92</v>
      </c>
      <c r="L11" s="7">
        <v>0</v>
      </c>
      <c r="M11" s="7" t="s">
        <v>372</v>
      </c>
      <c r="N11" s="7" t="s">
        <v>373</v>
      </c>
      <c r="O11" s="7" t="s">
        <v>374</v>
      </c>
      <c r="P11" s="7"/>
      <c r="Q11" s="7" t="s">
        <v>86</v>
      </c>
      <c r="R11" s="7"/>
      <c r="S11" s="7"/>
      <c r="T11" s="7" t="s">
        <v>86</v>
      </c>
      <c r="U11" s="7" t="s">
        <v>375</v>
      </c>
    </row>
    <row r="12" spans="1:21" x14ac:dyDescent="0.3">
      <c r="A12" s="7" t="s">
        <v>391</v>
      </c>
      <c r="B12" s="7" t="s">
        <v>175</v>
      </c>
      <c r="C12" s="7" t="s">
        <v>176</v>
      </c>
      <c r="D12" s="7" t="s">
        <v>177</v>
      </c>
      <c r="E12" s="7" t="s">
        <v>381</v>
      </c>
      <c r="F12" s="7" t="s">
        <v>371</v>
      </c>
      <c r="G12" s="7" t="s">
        <v>88</v>
      </c>
      <c r="H12" s="7" t="s">
        <v>90</v>
      </c>
      <c r="I12" s="7" t="s">
        <v>85</v>
      </c>
      <c r="J12" s="7" t="s">
        <v>91</v>
      </c>
      <c r="K12" s="7" t="s">
        <v>92</v>
      </c>
      <c r="L12" s="7">
        <v>0</v>
      </c>
      <c r="M12" s="7" t="s">
        <v>372</v>
      </c>
      <c r="N12" s="7" t="s">
        <v>373</v>
      </c>
      <c r="O12" s="7" t="s">
        <v>374</v>
      </c>
      <c r="P12" s="7"/>
      <c r="Q12" s="7" t="s">
        <v>86</v>
      </c>
      <c r="R12" s="7"/>
      <c r="S12" s="7"/>
      <c r="T12" s="7" t="s">
        <v>86</v>
      </c>
      <c r="U12" s="7" t="s">
        <v>375</v>
      </c>
    </row>
    <row r="13" spans="1:21" x14ac:dyDescent="0.3">
      <c r="A13" s="7" t="s">
        <v>392</v>
      </c>
      <c r="B13" s="7" t="s">
        <v>182</v>
      </c>
      <c r="C13" s="7" t="s">
        <v>183</v>
      </c>
      <c r="D13" s="7" t="s">
        <v>184</v>
      </c>
      <c r="E13" s="7" t="s">
        <v>383</v>
      </c>
      <c r="F13" s="7" t="s">
        <v>371</v>
      </c>
      <c r="G13" s="7" t="s">
        <v>88</v>
      </c>
      <c r="H13" s="7" t="s">
        <v>90</v>
      </c>
      <c r="I13" s="7" t="s">
        <v>85</v>
      </c>
      <c r="J13" s="7" t="s">
        <v>91</v>
      </c>
      <c r="K13" s="7" t="s">
        <v>92</v>
      </c>
      <c r="L13" s="7">
        <v>0</v>
      </c>
      <c r="M13" s="7" t="s">
        <v>372</v>
      </c>
      <c r="N13" s="7" t="s">
        <v>373</v>
      </c>
      <c r="O13" s="7" t="s">
        <v>374</v>
      </c>
      <c r="P13" s="7"/>
      <c r="Q13" s="7" t="s">
        <v>86</v>
      </c>
      <c r="R13" s="7"/>
      <c r="S13" s="7"/>
      <c r="T13" s="7" t="s">
        <v>86</v>
      </c>
      <c r="U13" s="7" t="s">
        <v>375</v>
      </c>
    </row>
    <row r="14" spans="1:21" x14ac:dyDescent="0.3">
      <c r="A14" s="7" t="s">
        <v>393</v>
      </c>
      <c r="B14" s="7" t="s">
        <v>189</v>
      </c>
      <c r="C14" s="7" t="s">
        <v>190</v>
      </c>
      <c r="D14" s="7" t="s">
        <v>191</v>
      </c>
      <c r="E14" s="7" t="s">
        <v>385</v>
      </c>
      <c r="F14" s="7" t="s">
        <v>371</v>
      </c>
      <c r="G14" s="7" t="s">
        <v>88</v>
      </c>
      <c r="H14" s="7" t="s">
        <v>90</v>
      </c>
      <c r="I14" s="7" t="s">
        <v>85</v>
      </c>
      <c r="J14" s="7" t="s">
        <v>91</v>
      </c>
      <c r="K14" s="7" t="s">
        <v>92</v>
      </c>
      <c r="L14" s="7">
        <v>0</v>
      </c>
      <c r="M14" s="7" t="s">
        <v>372</v>
      </c>
      <c r="N14" s="7" t="s">
        <v>373</v>
      </c>
      <c r="O14" s="7" t="s">
        <v>374</v>
      </c>
      <c r="P14" s="7"/>
      <c r="Q14" s="7" t="s">
        <v>86</v>
      </c>
      <c r="R14" s="7"/>
      <c r="S14" s="7"/>
      <c r="T14" s="7" t="s">
        <v>86</v>
      </c>
      <c r="U14" s="7" t="s">
        <v>375</v>
      </c>
    </row>
    <row r="15" spans="1:21" x14ac:dyDescent="0.3">
      <c r="A15" s="7" t="s">
        <v>394</v>
      </c>
      <c r="B15" s="7" t="s">
        <v>196</v>
      </c>
      <c r="C15" s="7" t="s">
        <v>197</v>
      </c>
      <c r="D15" s="7" t="s">
        <v>198</v>
      </c>
      <c r="E15" s="7" t="s">
        <v>387</v>
      </c>
      <c r="F15" s="7" t="s">
        <v>371</v>
      </c>
      <c r="G15" s="7" t="s">
        <v>88</v>
      </c>
      <c r="H15" s="7" t="s">
        <v>90</v>
      </c>
      <c r="I15" s="7" t="s">
        <v>85</v>
      </c>
      <c r="J15" s="7" t="s">
        <v>91</v>
      </c>
      <c r="K15" s="7" t="s">
        <v>92</v>
      </c>
      <c r="L15" s="7">
        <v>0</v>
      </c>
      <c r="M15" s="7" t="s">
        <v>372</v>
      </c>
      <c r="N15" s="7" t="s">
        <v>373</v>
      </c>
      <c r="O15" s="7" t="s">
        <v>374</v>
      </c>
      <c r="P15" s="7"/>
      <c r="Q15" s="7" t="s">
        <v>86</v>
      </c>
      <c r="R15" s="7"/>
      <c r="S15" s="7"/>
      <c r="T15" s="7" t="s">
        <v>86</v>
      </c>
      <c r="U15" s="7" t="s">
        <v>375</v>
      </c>
    </row>
    <row r="16" spans="1:21" x14ac:dyDescent="0.3">
      <c r="A16" s="7" t="s">
        <v>395</v>
      </c>
      <c r="B16" s="7" t="s">
        <v>203</v>
      </c>
      <c r="C16" s="7" t="s">
        <v>204</v>
      </c>
      <c r="D16" s="7" t="s">
        <v>205</v>
      </c>
      <c r="E16" s="7" t="s">
        <v>370</v>
      </c>
      <c r="F16" s="7" t="s">
        <v>371</v>
      </c>
      <c r="G16" s="7" t="s">
        <v>88</v>
      </c>
      <c r="H16" s="7" t="s">
        <v>90</v>
      </c>
      <c r="I16" s="7" t="s">
        <v>85</v>
      </c>
      <c r="J16" s="7" t="s">
        <v>91</v>
      </c>
      <c r="K16" s="7" t="s">
        <v>92</v>
      </c>
      <c r="L16" s="7">
        <v>0</v>
      </c>
      <c r="M16" s="7" t="s">
        <v>372</v>
      </c>
      <c r="N16" s="7" t="s">
        <v>373</v>
      </c>
      <c r="O16" s="7" t="s">
        <v>374</v>
      </c>
      <c r="P16" s="7"/>
      <c r="Q16" s="7" t="s">
        <v>86</v>
      </c>
      <c r="R16" s="7"/>
      <c r="S16" s="7"/>
      <c r="T16" s="7" t="s">
        <v>86</v>
      </c>
      <c r="U16" s="7" t="s">
        <v>375</v>
      </c>
    </row>
    <row r="17" spans="1:21" x14ac:dyDescent="0.3">
      <c r="A17" s="7" t="s">
        <v>396</v>
      </c>
      <c r="B17" s="7" t="s">
        <v>210</v>
      </c>
      <c r="C17" s="7" t="s">
        <v>211</v>
      </c>
      <c r="D17" s="7" t="s">
        <v>212</v>
      </c>
      <c r="E17" s="7" t="s">
        <v>377</v>
      </c>
      <c r="F17" s="7" t="s">
        <v>371</v>
      </c>
      <c r="G17" s="7" t="s">
        <v>88</v>
      </c>
      <c r="H17" s="7" t="s">
        <v>90</v>
      </c>
      <c r="I17" s="7" t="s">
        <v>85</v>
      </c>
      <c r="J17" s="7" t="s">
        <v>91</v>
      </c>
      <c r="K17" s="7" t="s">
        <v>92</v>
      </c>
      <c r="L17" s="7">
        <v>0</v>
      </c>
      <c r="M17" s="7" t="s">
        <v>372</v>
      </c>
      <c r="N17" s="7" t="s">
        <v>373</v>
      </c>
      <c r="O17" s="7" t="s">
        <v>374</v>
      </c>
      <c r="P17" s="7"/>
      <c r="Q17" s="7" t="s">
        <v>86</v>
      </c>
      <c r="R17" s="7"/>
      <c r="S17" s="7"/>
      <c r="T17" s="7" t="s">
        <v>86</v>
      </c>
      <c r="U17" s="7" t="s">
        <v>375</v>
      </c>
    </row>
    <row r="18" spans="1:21" x14ac:dyDescent="0.3">
      <c r="A18" s="7" t="s">
        <v>397</v>
      </c>
      <c r="B18" s="7" t="s">
        <v>218</v>
      </c>
      <c r="C18" s="7" t="s">
        <v>219</v>
      </c>
      <c r="D18" s="7" t="s">
        <v>220</v>
      </c>
      <c r="E18" s="7" t="s">
        <v>379</v>
      </c>
      <c r="F18" s="7" t="s">
        <v>371</v>
      </c>
      <c r="G18" s="7" t="s">
        <v>88</v>
      </c>
      <c r="H18" s="7" t="s">
        <v>90</v>
      </c>
      <c r="I18" s="7" t="s">
        <v>85</v>
      </c>
      <c r="J18" s="7" t="s">
        <v>91</v>
      </c>
      <c r="K18" s="7" t="s">
        <v>92</v>
      </c>
      <c r="L18" s="7">
        <v>0</v>
      </c>
      <c r="M18" s="7" t="s">
        <v>372</v>
      </c>
      <c r="N18" s="7" t="s">
        <v>373</v>
      </c>
      <c r="O18" s="7" t="s">
        <v>374</v>
      </c>
      <c r="P18" s="7"/>
      <c r="Q18" s="7" t="s">
        <v>86</v>
      </c>
      <c r="R18" s="7"/>
      <c r="S18" s="7"/>
      <c r="T18" s="7" t="s">
        <v>86</v>
      </c>
      <c r="U18" s="7" t="s">
        <v>375</v>
      </c>
    </row>
    <row r="19" spans="1:21" x14ac:dyDescent="0.3">
      <c r="A19" s="7" t="s">
        <v>398</v>
      </c>
      <c r="B19" s="7" t="s">
        <v>225</v>
      </c>
      <c r="C19" s="7" t="s">
        <v>226</v>
      </c>
      <c r="D19" s="7" t="s">
        <v>227</v>
      </c>
      <c r="E19" s="7" t="s">
        <v>381</v>
      </c>
      <c r="F19" s="7" t="s">
        <v>371</v>
      </c>
      <c r="G19" s="7" t="s">
        <v>88</v>
      </c>
      <c r="H19" s="7" t="s">
        <v>90</v>
      </c>
      <c r="I19" s="7" t="s">
        <v>85</v>
      </c>
      <c r="J19" s="7" t="s">
        <v>91</v>
      </c>
      <c r="K19" s="7" t="s">
        <v>92</v>
      </c>
      <c r="L19" s="7">
        <v>0</v>
      </c>
      <c r="M19" s="7" t="s">
        <v>372</v>
      </c>
      <c r="N19" s="7" t="s">
        <v>373</v>
      </c>
      <c r="O19" s="7" t="s">
        <v>374</v>
      </c>
      <c r="P19" s="7"/>
      <c r="Q19" s="7" t="s">
        <v>86</v>
      </c>
      <c r="R19" s="7"/>
      <c r="S19" s="7"/>
      <c r="T19" s="7" t="s">
        <v>86</v>
      </c>
      <c r="U19" s="7" t="s">
        <v>375</v>
      </c>
    </row>
    <row r="20" spans="1:21" x14ac:dyDescent="0.3">
      <c r="A20" s="7" t="s">
        <v>399</v>
      </c>
      <c r="B20" s="7" t="s">
        <v>232</v>
      </c>
      <c r="C20" s="7" t="s">
        <v>233</v>
      </c>
      <c r="D20" s="7" t="s">
        <v>234</v>
      </c>
      <c r="E20" s="7" t="s">
        <v>383</v>
      </c>
      <c r="F20" s="7" t="s">
        <v>371</v>
      </c>
      <c r="G20" s="7" t="s">
        <v>88</v>
      </c>
      <c r="H20" s="7" t="s">
        <v>90</v>
      </c>
      <c r="I20" s="7" t="s">
        <v>85</v>
      </c>
      <c r="J20" s="7" t="s">
        <v>91</v>
      </c>
      <c r="K20" s="7" t="s">
        <v>92</v>
      </c>
      <c r="L20" s="7">
        <v>0</v>
      </c>
      <c r="M20" s="7" t="s">
        <v>372</v>
      </c>
      <c r="N20" s="7" t="s">
        <v>373</v>
      </c>
      <c r="O20" s="7" t="s">
        <v>374</v>
      </c>
      <c r="P20" s="7"/>
      <c r="Q20" s="7" t="s">
        <v>86</v>
      </c>
      <c r="R20" s="7"/>
      <c r="S20" s="7"/>
      <c r="T20" s="7" t="s">
        <v>86</v>
      </c>
      <c r="U20" s="7" t="s">
        <v>375</v>
      </c>
    </row>
    <row r="21" spans="1:21" x14ac:dyDescent="0.3">
      <c r="A21" s="7" t="s">
        <v>400</v>
      </c>
      <c r="B21" s="7" t="s">
        <v>239</v>
      </c>
      <c r="C21" s="7" t="s">
        <v>240</v>
      </c>
      <c r="D21" s="7" t="s">
        <v>241</v>
      </c>
      <c r="E21" s="7" t="s">
        <v>385</v>
      </c>
      <c r="F21" s="7" t="s">
        <v>371</v>
      </c>
      <c r="G21" s="7" t="s">
        <v>88</v>
      </c>
      <c r="H21" s="7" t="s">
        <v>90</v>
      </c>
      <c r="I21" s="7" t="s">
        <v>85</v>
      </c>
      <c r="J21" s="7" t="s">
        <v>91</v>
      </c>
      <c r="K21" s="7" t="s">
        <v>92</v>
      </c>
      <c r="L21" s="7">
        <v>0</v>
      </c>
      <c r="M21" s="7" t="s">
        <v>372</v>
      </c>
      <c r="N21" s="7" t="s">
        <v>373</v>
      </c>
      <c r="O21" s="7" t="s">
        <v>374</v>
      </c>
      <c r="P21" s="7"/>
      <c r="Q21" s="7" t="s">
        <v>86</v>
      </c>
      <c r="R21" s="7"/>
      <c r="S21" s="7"/>
      <c r="T21" s="7" t="s">
        <v>86</v>
      </c>
      <c r="U21" s="7" t="s">
        <v>375</v>
      </c>
    </row>
    <row r="22" spans="1:21" x14ac:dyDescent="0.3">
      <c r="A22" s="7" t="s">
        <v>401</v>
      </c>
      <c r="B22" s="7" t="s">
        <v>246</v>
      </c>
      <c r="C22" s="7" t="s">
        <v>247</v>
      </c>
      <c r="D22" s="7" t="s">
        <v>248</v>
      </c>
      <c r="E22" s="7" t="s">
        <v>387</v>
      </c>
      <c r="F22" s="7" t="s">
        <v>371</v>
      </c>
      <c r="G22" s="7" t="s">
        <v>88</v>
      </c>
      <c r="H22" s="7" t="s">
        <v>90</v>
      </c>
      <c r="I22" s="7" t="s">
        <v>85</v>
      </c>
      <c r="J22" s="7" t="s">
        <v>91</v>
      </c>
      <c r="K22" s="7" t="s">
        <v>92</v>
      </c>
      <c r="L22" s="7">
        <v>0</v>
      </c>
      <c r="M22" s="7" t="s">
        <v>372</v>
      </c>
      <c r="N22" s="7" t="s">
        <v>373</v>
      </c>
      <c r="O22" s="7" t="s">
        <v>374</v>
      </c>
      <c r="P22" s="7"/>
      <c r="Q22" s="7" t="s">
        <v>86</v>
      </c>
      <c r="R22" s="7"/>
      <c r="S22" s="7"/>
      <c r="T22" s="7" t="s">
        <v>86</v>
      </c>
      <c r="U22" s="7" t="s">
        <v>375</v>
      </c>
    </row>
    <row r="23" spans="1:21" x14ac:dyDescent="0.3">
      <c r="A23" s="7" t="s">
        <v>402</v>
      </c>
      <c r="B23" s="7" t="s">
        <v>253</v>
      </c>
      <c r="C23" s="7" t="s">
        <v>254</v>
      </c>
      <c r="D23" s="7" t="s">
        <v>255</v>
      </c>
      <c r="E23" s="7" t="s">
        <v>370</v>
      </c>
      <c r="F23" s="7" t="s">
        <v>371</v>
      </c>
      <c r="G23" s="7" t="s">
        <v>88</v>
      </c>
      <c r="H23" s="7" t="s">
        <v>90</v>
      </c>
      <c r="I23" s="7" t="s">
        <v>85</v>
      </c>
      <c r="J23" s="7" t="s">
        <v>91</v>
      </c>
      <c r="K23" s="7" t="s">
        <v>92</v>
      </c>
      <c r="L23" s="7">
        <v>0</v>
      </c>
      <c r="M23" s="7" t="s">
        <v>372</v>
      </c>
      <c r="N23" s="7" t="s">
        <v>373</v>
      </c>
      <c r="O23" s="7" t="s">
        <v>374</v>
      </c>
      <c r="P23" s="7"/>
      <c r="Q23" s="7" t="s">
        <v>86</v>
      </c>
      <c r="R23" s="7"/>
      <c r="S23" s="7"/>
      <c r="T23" s="7" t="s">
        <v>86</v>
      </c>
      <c r="U23" s="7" t="s">
        <v>375</v>
      </c>
    </row>
    <row r="24" spans="1:21" x14ac:dyDescent="0.3">
      <c r="A24" s="7" t="s">
        <v>403</v>
      </c>
      <c r="B24" s="7" t="s">
        <v>260</v>
      </c>
      <c r="C24" s="7" t="s">
        <v>261</v>
      </c>
      <c r="D24" s="7" t="s">
        <v>262</v>
      </c>
      <c r="E24" s="7" t="s">
        <v>377</v>
      </c>
      <c r="F24" s="7" t="s">
        <v>371</v>
      </c>
      <c r="G24" s="7" t="s">
        <v>88</v>
      </c>
      <c r="H24" s="7" t="s">
        <v>90</v>
      </c>
      <c r="I24" s="7" t="s">
        <v>85</v>
      </c>
      <c r="J24" s="7" t="s">
        <v>91</v>
      </c>
      <c r="K24" s="7" t="s">
        <v>92</v>
      </c>
      <c r="L24" s="7">
        <v>0</v>
      </c>
      <c r="M24" s="7" t="s">
        <v>372</v>
      </c>
      <c r="N24" s="7" t="s">
        <v>373</v>
      </c>
      <c r="O24" s="7" t="s">
        <v>374</v>
      </c>
      <c r="P24" s="7"/>
      <c r="Q24" s="7" t="s">
        <v>86</v>
      </c>
      <c r="R24" s="7"/>
      <c r="S24" s="7"/>
      <c r="T24" s="7" t="s">
        <v>86</v>
      </c>
      <c r="U24" s="7" t="s">
        <v>375</v>
      </c>
    </row>
    <row r="25" spans="1:21" x14ac:dyDescent="0.3">
      <c r="A25" s="7" t="s">
        <v>404</v>
      </c>
      <c r="B25" s="7" t="s">
        <v>267</v>
      </c>
      <c r="C25" s="7" t="s">
        <v>268</v>
      </c>
      <c r="D25" s="7" t="s">
        <v>269</v>
      </c>
      <c r="E25" s="7" t="s">
        <v>379</v>
      </c>
      <c r="F25" s="7" t="s">
        <v>371</v>
      </c>
      <c r="G25" s="7" t="s">
        <v>88</v>
      </c>
      <c r="H25" s="7" t="s">
        <v>90</v>
      </c>
      <c r="I25" s="7" t="s">
        <v>85</v>
      </c>
      <c r="J25" s="7" t="s">
        <v>91</v>
      </c>
      <c r="K25" s="7" t="s">
        <v>92</v>
      </c>
      <c r="L25" s="7">
        <v>0</v>
      </c>
      <c r="M25" s="7" t="s">
        <v>372</v>
      </c>
      <c r="N25" s="7" t="s">
        <v>373</v>
      </c>
      <c r="O25" s="7" t="s">
        <v>374</v>
      </c>
      <c r="P25" s="7"/>
      <c r="Q25" s="7" t="s">
        <v>86</v>
      </c>
      <c r="R25" s="7"/>
      <c r="S25" s="7"/>
      <c r="T25" s="7" t="s">
        <v>86</v>
      </c>
      <c r="U25" s="7" t="s">
        <v>375</v>
      </c>
    </row>
    <row r="26" spans="1:21" x14ac:dyDescent="0.3">
      <c r="A26" s="7" t="s">
        <v>405</v>
      </c>
      <c r="B26" s="7" t="s">
        <v>274</v>
      </c>
      <c r="C26" s="7" t="s">
        <v>275</v>
      </c>
      <c r="D26" s="7" t="s">
        <v>276</v>
      </c>
      <c r="E26" s="7" t="s">
        <v>381</v>
      </c>
      <c r="F26" s="7" t="s">
        <v>371</v>
      </c>
      <c r="G26" s="7" t="s">
        <v>88</v>
      </c>
      <c r="H26" s="7" t="s">
        <v>90</v>
      </c>
      <c r="I26" s="7" t="s">
        <v>85</v>
      </c>
      <c r="J26" s="7" t="s">
        <v>91</v>
      </c>
      <c r="K26" s="7" t="s">
        <v>92</v>
      </c>
      <c r="L26" s="7">
        <v>0</v>
      </c>
      <c r="M26" s="7" t="s">
        <v>372</v>
      </c>
      <c r="N26" s="7" t="s">
        <v>373</v>
      </c>
      <c r="O26" s="7" t="s">
        <v>374</v>
      </c>
      <c r="P26" s="7"/>
      <c r="Q26" s="7" t="s">
        <v>86</v>
      </c>
      <c r="R26" s="7"/>
      <c r="S26" s="7"/>
      <c r="T26" s="7" t="s">
        <v>86</v>
      </c>
      <c r="U26" s="7" t="s">
        <v>375</v>
      </c>
    </row>
    <row r="27" spans="1:21" x14ac:dyDescent="0.3">
      <c r="A27" s="7" t="s">
        <v>406</v>
      </c>
      <c r="B27" s="7" t="s">
        <v>281</v>
      </c>
      <c r="C27" s="7" t="s">
        <v>282</v>
      </c>
      <c r="D27" s="7" t="s">
        <v>283</v>
      </c>
      <c r="E27" s="7" t="s">
        <v>383</v>
      </c>
      <c r="F27" s="7" t="s">
        <v>371</v>
      </c>
      <c r="G27" s="7" t="s">
        <v>88</v>
      </c>
      <c r="H27" s="7" t="s">
        <v>90</v>
      </c>
      <c r="I27" s="7" t="s">
        <v>85</v>
      </c>
      <c r="J27" s="7" t="s">
        <v>91</v>
      </c>
      <c r="K27" s="7" t="s">
        <v>92</v>
      </c>
      <c r="L27" s="7">
        <v>0</v>
      </c>
      <c r="M27" s="7" t="s">
        <v>372</v>
      </c>
      <c r="N27" s="7" t="s">
        <v>373</v>
      </c>
      <c r="O27" s="7" t="s">
        <v>374</v>
      </c>
      <c r="P27" s="7"/>
      <c r="Q27" s="7" t="s">
        <v>86</v>
      </c>
      <c r="R27" s="7"/>
      <c r="S27" s="7"/>
      <c r="T27" s="7" t="s">
        <v>86</v>
      </c>
      <c r="U27" s="7" t="s">
        <v>375</v>
      </c>
    </row>
    <row r="28" spans="1:21" x14ac:dyDescent="0.3">
      <c r="A28" s="7" t="s">
        <v>407</v>
      </c>
      <c r="B28" s="7" t="s">
        <v>288</v>
      </c>
      <c r="C28" s="7" t="s">
        <v>289</v>
      </c>
      <c r="D28" s="7" t="s">
        <v>290</v>
      </c>
      <c r="E28" s="7" t="s">
        <v>385</v>
      </c>
      <c r="F28" s="7" t="s">
        <v>371</v>
      </c>
      <c r="G28" s="7" t="s">
        <v>88</v>
      </c>
      <c r="H28" s="7" t="s">
        <v>90</v>
      </c>
      <c r="I28" s="7" t="s">
        <v>85</v>
      </c>
      <c r="J28" s="7" t="s">
        <v>91</v>
      </c>
      <c r="K28" s="7" t="s">
        <v>92</v>
      </c>
      <c r="L28" s="7">
        <v>0</v>
      </c>
      <c r="M28" s="7" t="s">
        <v>372</v>
      </c>
      <c r="N28" s="7" t="s">
        <v>373</v>
      </c>
      <c r="O28" s="7" t="s">
        <v>374</v>
      </c>
      <c r="P28" s="7"/>
      <c r="Q28" s="7" t="s">
        <v>86</v>
      </c>
      <c r="R28" s="7"/>
      <c r="S28" s="7"/>
      <c r="T28" s="7" t="s">
        <v>86</v>
      </c>
      <c r="U28" s="7" t="s">
        <v>375</v>
      </c>
    </row>
    <row r="29" spans="1:21" x14ac:dyDescent="0.3">
      <c r="A29" s="7" t="s">
        <v>408</v>
      </c>
      <c r="B29" s="7" t="s">
        <v>295</v>
      </c>
      <c r="C29" s="7" t="s">
        <v>296</v>
      </c>
      <c r="D29" s="7" t="s">
        <v>297</v>
      </c>
      <c r="E29" s="7" t="s">
        <v>387</v>
      </c>
      <c r="F29" s="7" t="s">
        <v>371</v>
      </c>
      <c r="G29" s="7" t="s">
        <v>88</v>
      </c>
      <c r="H29" s="7" t="s">
        <v>90</v>
      </c>
      <c r="I29" s="7" t="s">
        <v>85</v>
      </c>
      <c r="J29" s="7" t="s">
        <v>91</v>
      </c>
      <c r="K29" s="7" t="s">
        <v>92</v>
      </c>
      <c r="L29" s="7">
        <v>0</v>
      </c>
      <c r="M29" s="7" t="s">
        <v>372</v>
      </c>
      <c r="N29" s="7" t="s">
        <v>373</v>
      </c>
      <c r="O29" s="7" t="s">
        <v>374</v>
      </c>
      <c r="P29" s="7"/>
      <c r="Q29" s="7" t="s">
        <v>86</v>
      </c>
      <c r="R29" s="7"/>
      <c r="S29" s="7"/>
      <c r="T29" s="7" t="s">
        <v>86</v>
      </c>
      <c r="U29" s="7" t="s">
        <v>375</v>
      </c>
    </row>
    <row r="30" spans="1:21" x14ac:dyDescent="0.3">
      <c r="A30" s="7" t="s">
        <v>409</v>
      </c>
      <c r="B30" s="7" t="s">
        <v>302</v>
      </c>
      <c r="C30" s="7" t="s">
        <v>303</v>
      </c>
      <c r="D30" s="7" t="s">
        <v>304</v>
      </c>
      <c r="E30" s="7" t="s">
        <v>370</v>
      </c>
      <c r="F30" s="7" t="s">
        <v>371</v>
      </c>
      <c r="G30" s="7" t="s">
        <v>88</v>
      </c>
      <c r="H30" s="7" t="s">
        <v>90</v>
      </c>
      <c r="I30" s="7" t="s">
        <v>85</v>
      </c>
      <c r="J30" s="7" t="s">
        <v>91</v>
      </c>
      <c r="K30" s="7" t="s">
        <v>92</v>
      </c>
      <c r="L30" s="7">
        <v>0</v>
      </c>
      <c r="M30" s="7" t="s">
        <v>372</v>
      </c>
      <c r="N30" s="7" t="s">
        <v>373</v>
      </c>
      <c r="O30" s="7" t="s">
        <v>374</v>
      </c>
      <c r="P30" s="7"/>
      <c r="Q30" s="7" t="s">
        <v>86</v>
      </c>
      <c r="R30" s="7"/>
      <c r="S30" s="7"/>
      <c r="T30" s="7" t="s">
        <v>86</v>
      </c>
      <c r="U30" s="7" t="s">
        <v>375</v>
      </c>
    </row>
    <row r="31" spans="1:21" x14ac:dyDescent="0.3">
      <c r="A31" s="7" t="s">
        <v>410</v>
      </c>
      <c r="B31" s="7" t="s">
        <v>309</v>
      </c>
      <c r="C31" s="7" t="s">
        <v>310</v>
      </c>
      <c r="D31" s="7" t="s">
        <v>311</v>
      </c>
      <c r="E31" s="7" t="s">
        <v>377</v>
      </c>
      <c r="F31" s="7" t="s">
        <v>371</v>
      </c>
      <c r="G31" s="7" t="s">
        <v>88</v>
      </c>
      <c r="H31" s="7" t="s">
        <v>90</v>
      </c>
      <c r="I31" s="7" t="s">
        <v>85</v>
      </c>
      <c r="J31" s="7" t="s">
        <v>91</v>
      </c>
      <c r="K31" s="7" t="s">
        <v>92</v>
      </c>
      <c r="L31" s="7">
        <v>0</v>
      </c>
      <c r="M31" s="7" t="s">
        <v>372</v>
      </c>
      <c r="N31" s="7" t="s">
        <v>373</v>
      </c>
      <c r="O31" s="7" t="s">
        <v>374</v>
      </c>
      <c r="P31" s="7"/>
      <c r="Q31" s="7" t="s">
        <v>86</v>
      </c>
      <c r="R31" s="7"/>
      <c r="S31" s="7"/>
      <c r="T31" s="7" t="s">
        <v>86</v>
      </c>
      <c r="U31" s="7" t="s">
        <v>375</v>
      </c>
    </row>
  </sheetData>
  <dataValidations count="5">
    <dataValidation type="list" allowBlank="1" sqref="E2:E31" xr:uid="{00000000-0002-0000-0400-000000000000}">
      <formula1>"Risk Treatment,Control Remediation,Contractual Remediation,Security Improvement,Incident Corrective Action,SLA Improvement,Compliance Action"</formula1>
    </dataValidation>
    <dataValidation type="list" allowBlank="1" sqref="H2:H31" xr:uid="{00000000-0002-0000-0400-000001000000}">
      <formula1>"Critical,High,Medium,Low"</formula1>
    </dataValidation>
    <dataValidation type="list" allowBlank="1" sqref="K2:K31" xr:uid="{00000000-0002-0000-0400-000002000000}">
      <formula1>"Open,In Progress,Blocked,Pending Validation,Closed,Deferred"</formula1>
    </dataValidation>
    <dataValidation type="list" allowBlank="1" sqref="M2:M31" xr:uid="{00000000-0002-0000-0400-000003000000}">
      <formula1>"None,Vendor Dependency,Business Dependency,Security Dependency,Contract Dependency"</formula1>
    </dataValidation>
    <dataValidation type="list" allowBlank="1" sqref="Q2:Q31" xr:uid="{00000000-0002-0000-0400-000004000000}">
      <formula1>"Pending,Effective,Partially Effective,Ineffective,Not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R31"/>
  <sheetViews>
    <sheetView showGridLines="0" workbookViewId="0">
      <pane ySplit="1" topLeftCell="A2" activePane="bottomLeft" state="frozen"/>
      <selection pane="bottomLeft" activeCell="E17" sqref="A2:R31"/>
    </sheetView>
  </sheetViews>
  <sheetFormatPr defaultRowHeight="14.4" x14ac:dyDescent="0.3"/>
  <cols>
    <col min="1" max="1" width="18" customWidth="1"/>
    <col min="2" max="2" width="22" customWidth="1"/>
    <col min="3" max="3" width="13" customWidth="1"/>
    <col min="4" max="4" width="30" customWidth="1"/>
    <col min="5" max="5" width="16" customWidth="1"/>
    <col min="6" max="7" width="20" customWidth="1"/>
    <col min="8" max="8" width="14" customWidth="1"/>
    <col min="9" max="11" width="16" customWidth="1"/>
    <col min="12" max="12" width="22" customWidth="1"/>
    <col min="13" max="13" width="35" customWidth="1"/>
    <col min="14" max="14" width="45" customWidth="1"/>
    <col min="15" max="15" width="20" customWidth="1"/>
    <col min="16" max="16" width="22" customWidth="1"/>
    <col min="17" max="17" width="45" customWidth="1"/>
    <col min="18" max="18" width="50" customWidth="1"/>
  </cols>
  <sheetData>
    <row r="1" spans="1:18" ht="48" customHeight="1" x14ac:dyDescent="0.3">
      <c r="A1" s="1" t="s">
        <v>411</v>
      </c>
      <c r="B1" s="1" t="s">
        <v>360</v>
      </c>
      <c r="C1" s="1" t="s">
        <v>37</v>
      </c>
      <c r="D1" s="1" t="s">
        <v>38</v>
      </c>
      <c r="E1" s="1" t="s">
        <v>412</v>
      </c>
      <c r="F1" s="1" t="s">
        <v>413</v>
      </c>
      <c r="G1" s="1" t="s">
        <v>414</v>
      </c>
      <c r="H1" s="1" t="s">
        <v>56</v>
      </c>
      <c r="I1" s="1" t="s">
        <v>55</v>
      </c>
      <c r="J1" s="1" t="s">
        <v>415</v>
      </c>
      <c r="K1" s="1" t="s">
        <v>416</v>
      </c>
      <c r="L1" s="1" t="s">
        <v>417</v>
      </c>
      <c r="M1" s="1" t="s">
        <v>365</v>
      </c>
      <c r="N1" s="1" t="s">
        <v>322</v>
      </c>
      <c r="O1" s="1" t="s">
        <v>418</v>
      </c>
      <c r="P1" s="1" t="s">
        <v>419</v>
      </c>
      <c r="Q1" s="1" t="s">
        <v>62</v>
      </c>
      <c r="R1" s="1" t="s">
        <v>324</v>
      </c>
    </row>
    <row r="2" spans="1:18" x14ac:dyDescent="0.3">
      <c r="A2" s="7" t="s">
        <v>420</v>
      </c>
      <c r="B2" s="7" t="s">
        <v>369</v>
      </c>
      <c r="C2" s="7" t="s">
        <v>75</v>
      </c>
      <c r="D2" s="7" t="s">
        <v>76</v>
      </c>
      <c r="E2" s="7" t="s">
        <v>421</v>
      </c>
      <c r="F2" s="7" t="s">
        <v>92</v>
      </c>
      <c r="G2" s="7" t="s">
        <v>92</v>
      </c>
      <c r="H2" s="7">
        <v>0</v>
      </c>
      <c r="I2" s="7" t="s">
        <v>91</v>
      </c>
      <c r="J2" s="7">
        <v>0</v>
      </c>
      <c r="K2" s="7" t="s">
        <v>99</v>
      </c>
      <c r="L2" s="7" t="s">
        <v>99</v>
      </c>
      <c r="M2" s="7" t="s">
        <v>372</v>
      </c>
      <c r="N2" s="7" t="s">
        <v>422</v>
      </c>
      <c r="O2" s="7" t="s">
        <v>99</v>
      </c>
      <c r="P2" s="7" t="s">
        <v>89</v>
      </c>
      <c r="Q2" s="7" t="s">
        <v>86</v>
      </c>
      <c r="R2" s="7" t="s">
        <v>423</v>
      </c>
    </row>
    <row r="3" spans="1:18" x14ac:dyDescent="0.3">
      <c r="A3" s="7" t="s">
        <v>424</v>
      </c>
      <c r="B3" s="7" t="s">
        <v>376</v>
      </c>
      <c r="C3" s="7" t="s">
        <v>103</v>
      </c>
      <c r="D3" s="7" t="s">
        <v>104</v>
      </c>
      <c r="E3" s="7" t="s">
        <v>421</v>
      </c>
      <c r="F3" s="7" t="s">
        <v>92</v>
      </c>
      <c r="G3" s="7" t="s">
        <v>92</v>
      </c>
      <c r="H3" s="7">
        <v>0</v>
      </c>
      <c r="I3" s="7" t="s">
        <v>91</v>
      </c>
      <c r="J3" s="7">
        <v>0</v>
      </c>
      <c r="K3" s="7" t="s">
        <v>99</v>
      </c>
      <c r="L3" s="7" t="s">
        <v>99</v>
      </c>
      <c r="M3" s="7" t="s">
        <v>372</v>
      </c>
      <c r="N3" s="7" t="s">
        <v>422</v>
      </c>
      <c r="O3" s="7" t="s">
        <v>99</v>
      </c>
      <c r="P3" s="7" t="s">
        <v>89</v>
      </c>
      <c r="Q3" s="7" t="s">
        <v>86</v>
      </c>
      <c r="R3" s="7" t="s">
        <v>423</v>
      </c>
    </row>
    <row r="4" spans="1:18" x14ac:dyDescent="0.3">
      <c r="A4" s="7" t="s">
        <v>425</v>
      </c>
      <c r="B4" s="7" t="s">
        <v>378</v>
      </c>
      <c r="C4" s="7" t="s">
        <v>112</v>
      </c>
      <c r="D4" s="7" t="s">
        <v>113</v>
      </c>
      <c r="E4" s="7" t="s">
        <v>421</v>
      </c>
      <c r="F4" s="7" t="s">
        <v>92</v>
      </c>
      <c r="G4" s="7" t="s">
        <v>92</v>
      </c>
      <c r="H4" s="7">
        <v>0</v>
      </c>
      <c r="I4" s="7" t="s">
        <v>91</v>
      </c>
      <c r="J4" s="7">
        <v>0</v>
      </c>
      <c r="K4" s="7" t="s">
        <v>99</v>
      </c>
      <c r="L4" s="7" t="s">
        <v>99</v>
      </c>
      <c r="M4" s="7" t="s">
        <v>372</v>
      </c>
      <c r="N4" s="7" t="s">
        <v>422</v>
      </c>
      <c r="O4" s="7" t="s">
        <v>99</v>
      </c>
      <c r="P4" s="7" t="s">
        <v>89</v>
      </c>
      <c r="Q4" s="7" t="s">
        <v>86</v>
      </c>
      <c r="R4" s="7" t="s">
        <v>423</v>
      </c>
    </row>
    <row r="5" spans="1:18" x14ac:dyDescent="0.3">
      <c r="A5" s="7" t="s">
        <v>426</v>
      </c>
      <c r="B5" s="7" t="s">
        <v>380</v>
      </c>
      <c r="C5" s="7" t="s">
        <v>120</v>
      </c>
      <c r="D5" s="7" t="s">
        <v>121</v>
      </c>
      <c r="E5" s="7" t="s">
        <v>421</v>
      </c>
      <c r="F5" s="7" t="s">
        <v>92</v>
      </c>
      <c r="G5" s="7" t="s">
        <v>92</v>
      </c>
      <c r="H5" s="7">
        <v>0</v>
      </c>
      <c r="I5" s="7" t="s">
        <v>91</v>
      </c>
      <c r="J5" s="7">
        <v>0</v>
      </c>
      <c r="K5" s="7" t="s">
        <v>99</v>
      </c>
      <c r="L5" s="7" t="s">
        <v>99</v>
      </c>
      <c r="M5" s="7" t="s">
        <v>372</v>
      </c>
      <c r="N5" s="7" t="s">
        <v>422</v>
      </c>
      <c r="O5" s="7" t="s">
        <v>99</v>
      </c>
      <c r="P5" s="7" t="s">
        <v>89</v>
      </c>
      <c r="Q5" s="7" t="s">
        <v>86</v>
      </c>
      <c r="R5" s="7" t="s">
        <v>423</v>
      </c>
    </row>
    <row r="6" spans="1:18" x14ac:dyDescent="0.3">
      <c r="A6" s="7" t="s">
        <v>427</v>
      </c>
      <c r="B6" s="7" t="s">
        <v>382</v>
      </c>
      <c r="C6" s="7" t="s">
        <v>128</v>
      </c>
      <c r="D6" s="7" t="s">
        <v>129</v>
      </c>
      <c r="E6" s="7" t="s">
        <v>421</v>
      </c>
      <c r="F6" s="7" t="s">
        <v>92</v>
      </c>
      <c r="G6" s="7" t="s">
        <v>92</v>
      </c>
      <c r="H6" s="7">
        <v>0</v>
      </c>
      <c r="I6" s="7" t="s">
        <v>91</v>
      </c>
      <c r="J6" s="7">
        <v>0</v>
      </c>
      <c r="K6" s="7" t="s">
        <v>99</v>
      </c>
      <c r="L6" s="7" t="s">
        <v>99</v>
      </c>
      <c r="M6" s="7" t="s">
        <v>372</v>
      </c>
      <c r="N6" s="7" t="s">
        <v>422</v>
      </c>
      <c r="O6" s="7" t="s">
        <v>99</v>
      </c>
      <c r="P6" s="7" t="s">
        <v>89</v>
      </c>
      <c r="Q6" s="7" t="s">
        <v>86</v>
      </c>
      <c r="R6" s="7" t="s">
        <v>423</v>
      </c>
    </row>
    <row r="7" spans="1:18" x14ac:dyDescent="0.3">
      <c r="A7" s="7" t="s">
        <v>428</v>
      </c>
      <c r="B7" s="7" t="s">
        <v>384</v>
      </c>
      <c r="C7" s="7" t="s">
        <v>136</v>
      </c>
      <c r="D7" s="7" t="s">
        <v>137</v>
      </c>
      <c r="E7" s="7" t="s">
        <v>421</v>
      </c>
      <c r="F7" s="7" t="s">
        <v>92</v>
      </c>
      <c r="G7" s="7" t="s">
        <v>92</v>
      </c>
      <c r="H7" s="7">
        <v>0</v>
      </c>
      <c r="I7" s="7" t="s">
        <v>91</v>
      </c>
      <c r="J7" s="7">
        <v>0</v>
      </c>
      <c r="K7" s="7" t="s">
        <v>99</v>
      </c>
      <c r="L7" s="7" t="s">
        <v>99</v>
      </c>
      <c r="M7" s="7" t="s">
        <v>372</v>
      </c>
      <c r="N7" s="7" t="s">
        <v>422</v>
      </c>
      <c r="O7" s="7" t="s">
        <v>99</v>
      </c>
      <c r="P7" s="7" t="s">
        <v>89</v>
      </c>
      <c r="Q7" s="7" t="s">
        <v>86</v>
      </c>
      <c r="R7" s="7" t="s">
        <v>423</v>
      </c>
    </row>
    <row r="8" spans="1:18" x14ac:dyDescent="0.3">
      <c r="A8" s="7" t="s">
        <v>429</v>
      </c>
      <c r="B8" s="7" t="s">
        <v>386</v>
      </c>
      <c r="C8" s="7" t="s">
        <v>144</v>
      </c>
      <c r="D8" s="7" t="s">
        <v>145</v>
      </c>
      <c r="E8" s="7" t="s">
        <v>421</v>
      </c>
      <c r="F8" s="7" t="s">
        <v>92</v>
      </c>
      <c r="G8" s="7" t="s">
        <v>92</v>
      </c>
      <c r="H8" s="7">
        <v>0</v>
      </c>
      <c r="I8" s="7" t="s">
        <v>91</v>
      </c>
      <c r="J8" s="7">
        <v>0</v>
      </c>
      <c r="K8" s="7" t="s">
        <v>99</v>
      </c>
      <c r="L8" s="7" t="s">
        <v>99</v>
      </c>
      <c r="M8" s="7" t="s">
        <v>372</v>
      </c>
      <c r="N8" s="7" t="s">
        <v>422</v>
      </c>
      <c r="O8" s="7" t="s">
        <v>99</v>
      </c>
      <c r="P8" s="7" t="s">
        <v>89</v>
      </c>
      <c r="Q8" s="7" t="s">
        <v>86</v>
      </c>
      <c r="R8" s="7" t="s">
        <v>423</v>
      </c>
    </row>
    <row r="9" spans="1:18" x14ac:dyDescent="0.3">
      <c r="A9" s="7" t="s">
        <v>430</v>
      </c>
      <c r="B9" s="7" t="s">
        <v>388</v>
      </c>
      <c r="C9" s="7" t="s">
        <v>152</v>
      </c>
      <c r="D9" s="7" t="s">
        <v>153</v>
      </c>
      <c r="E9" s="7" t="s">
        <v>421</v>
      </c>
      <c r="F9" s="7" t="s">
        <v>92</v>
      </c>
      <c r="G9" s="7" t="s">
        <v>92</v>
      </c>
      <c r="H9" s="7">
        <v>0</v>
      </c>
      <c r="I9" s="7" t="s">
        <v>91</v>
      </c>
      <c r="J9" s="7">
        <v>0</v>
      </c>
      <c r="K9" s="7" t="s">
        <v>99</v>
      </c>
      <c r="L9" s="7" t="s">
        <v>99</v>
      </c>
      <c r="M9" s="7" t="s">
        <v>372</v>
      </c>
      <c r="N9" s="7" t="s">
        <v>422</v>
      </c>
      <c r="O9" s="7" t="s">
        <v>99</v>
      </c>
      <c r="P9" s="7" t="s">
        <v>89</v>
      </c>
      <c r="Q9" s="7" t="s">
        <v>86</v>
      </c>
      <c r="R9" s="7" t="s">
        <v>423</v>
      </c>
    </row>
    <row r="10" spans="1:18" x14ac:dyDescent="0.3">
      <c r="A10" s="7" t="s">
        <v>431</v>
      </c>
      <c r="B10" s="7" t="s">
        <v>389</v>
      </c>
      <c r="C10" s="7" t="s">
        <v>160</v>
      </c>
      <c r="D10" s="7" t="s">
        <v>161</v>
      </c>
      <c r="E10" s="7" t="s">
        <v>421</v>
      </c>
      <c r="F10" s="7" t="s">
        <v>92</v>
      </c>
      <c r="G10" s="7" t="s">
        <v>92</v>
      </c>
      <c r="H10" s="7">
        <v>0</v>
      </c>
      <c r="I10" s="7" t="s">
        <v>91</v>
      </c>
      <c r="J10" s="7">
        <v>0</v>
      </c>
      <c r="K10" s="7" t="s">
        <v>99</v>
      </c>
      <c r="L10" s="7" t="s">
        <v>99</v>
      </c>
      <c r="M10" s="7" t="s">
        <v>372</v>
      </c>
      <c r="N10" s="7" t="s">
        <v>422</v>
      </c>
      <c r="O10" s="7" t="s">
        <v>99</v>
      </c>
      <c r="P10" s="7" t="s">
        <v>89</v>
      </c>
      <c r="Q10" s="7" t="s">
        <v>86</v>
      </c>
      <c r="R10" s="7" t="s">
        <v>423</v>
      </c>
    </row>
    <row r="11" spans="1:18" x14ac:dyDescent="0.3">
      <c r="A11" s="7" t="s">
        <v>432</v>
      </c>
      <c r="B11" s="7" t="s">
        <v>390</v>
      </c>
      <c r="C11" s="7" t="s">
        <v>168</v>
      </c>
      <c r="D11" s="7" t="s">
        <v>169</v>
      </c>
      <c r="E11" s="7" t="s">
        <v>421</v>
      </c>
      <c r="F11" s="7" t="s">
        <v>92</v>
      </c>
      <c r="G11" s="7" t="s">
        <v>92</v>
      </c>
      <c r="H11" s="7">
        <v>0</v>
      </c>
      <c r="I11" s="7" t="s">
        <v>91</v>
      </c>
      <c r="J11" s="7">
        <v>0</v>
      </c>
      <c r="K11" s="7" t="s">
        <v>99</v>
      </c>
      <c r="L11" s="7" t="s">
        <v>99</v>
      </c>
      <c r="M11" s="7" t="s">
        <v>372</v>
      </c>
      <c r="N11" s="7" t="s">
        <v>422</v>
      </c>
      <c r="O11" s="7" t="s">
        <v>99</v>
      </c>
      <c r="P11" s="7" t="s">
        <v>89</v>
      </c>
      <c r="Q11" s="7" t="s">
        <v>86</v>
      </c>
      <c r="R11" s="7" t="s">
        <v>423</v>
      </c>
    </row>
    <row r="12" spans="1:18" x14ac:dyDescent="0.3">
      <c r="A12" s="7" t="s">
        <v>433</v>
      </c>
      <c r="B12" s="7" t="s">
        <v>391</v>
      </c>
      <c r="C12" s="7" t="s">
        <v>176</v>
      </c>
      <c r="D12" s="7" t="s">
        <v>177</v>
      </c>
      <c r="E12" s="7" t="s">
        <v>421</v>
      </c>
      <c r="F12" s="7" t="s">
        <v>92</v>
      </c>
      <c r="G12" s="7" t="s">
        <v>92</v>
      </c>
      <c r="H12" s="7">
        <v>0</v>
      </c>
      <c r="I12" s="7" t="s">
        <v>91</v>
      </c>
      <c r="J12" s="7">
        <v>0</v>
      </c>
      <c r="K12" s="7" t="s">
        <v>99</v>
      </c>
      <c r="L12" s="7" t="s">
        <v>99</v>
      </c>
      <c r="M12" s="7" t="s">
        <v>372</v>
      </c>
      <c r="N12" s="7" t="s">
        <v>422</v>
      </c>
      <c r="O12" s="7" t="s">
        <v>99</v>
      </c>
      <c r="P12" s="7" t="s">
        <v>89</v>
      </c>
      <c r="Q12" s="7" t="s">
        <v>86</v>
      </c>
      <c r="R12" s="7" t="s">
        <v>423</v>
      </c>
    </row>
    <row r="13" spans="1:18" x14ac:dyDescent="0.3">
      <c r="A13" s="7" t="s">
        <v>434</v>
      </c>
      <c r="B13" s="7" t="s">
        <v>392</v>
      </c>
      <c r="C13" s="7" t="s">
        <v>183</v>
      </c>
      <c r="D13" s="7" t="s">
        <v>184</v>
      </c>
      <c r="E13" s="7" t="s">
        <v>421</v>
      </c>
      <c r="F13" s="7" t="s">
        <v>92</v>
      </c>
      <c r="G13" s="7" t="s">
        <v>92</v>
      </c>
      <c r="H13" s="7">
        <v>0</v>
      </c>
      <c r="I13" s="7" t="s">
        <v>91</v>
      </c>
      <c r="J13" s="7">
        <v>0</v>
      </c>
      <c r="K13" s="7" t="s">
        <v>99</v>
      </c>
      <c r="L13" s="7" t="s">
        <v>99</v>
      </c>
      <c r="M13" s="7" t="s">
        <v>372</v>
      </c>
      <c r="N13" s="7" t="s">
        <v>422</v>
      </c>
      <c r="O13" s="7" t="s">
        <v>99</v>
      </c>
      <c r="P13" s="7" t="s">
        <v>89</v>
      </c>
      <c r="Q13" s="7" t="s">
        <v>86</v>
      </c>
      <c r="R13" s="7" t="s">
        <v>423</v>
      </c>
    </row>
    <row r="14" spans="1:18" x14ac:dyDescent="0.3">
      <c r="A14" s="7" t="s">
        <v>435</v>
      </c>
      <c r="B14" s="7" t="s">
        <v>393</v>
      </c>
      <c r="C14" s="7" t="s">
        <v>190</v>
      </c>
      <c r="D14" s="7" t="s">
        <v>191</v>
      </c>
      <c r="E14" s="7" t="s">
        <v>421</v>
      </c>
      <c r="F14" s="7" t="s">
        <v>92</v>
      </c>
      <c r="G14" s="7" t="s">
        <v>92</v>
      </c>
      <c r="H14" s="7">
        <v>0</v>
      </c>
      <c r="I14" s="7" t="s">
        <v>91</v>
      </c>
      <c r="J14" s="7">
        <v>0</v>
      </c>
      <c r="K14" s="7" t="s">
        <v>99</v>
      </c>
      <c r="L14" s="7" t="s">
        <v>99</v>
      </c>
      <c r="M14" s="7" t="s">
        <v>372</v>
      </c>
      <c r="N14" s="7" t="s">
        <v>422</v>
      </c>
      <c r="O14" s="7" t="s">
        <v>99</v>
      </c>
      <c r="P14" s="7" t="s">
        <v>89</v>
      </c>
      <c r="Q14" s="7" t="s">
        <v>86</v>
      </c>
      <c r="R14" s="7" t="s">
        <v>423</v>
      </c>
    </row>
    <row r="15" spans="1:18" x14ac:dyDescent="0.3">
      <c r="A15" s="7" t="s">
        <v>436</v>
      </c>
      <c r="B15" s="7" t="s">
        <v>394</v>
      </c>
      <c r="C15" s="7" t="s">
        <v>197</v>
      </c>
      <c r="D15" s="7" t="s">
        <v>198</v>
      </c>
      <c r="E15" s="7" t="s">
        <v>421</v>
      </c>
      <c r="F15" s="7" t="s">
        <v>92</v>
      </c>
      <c r="G15" s="7" t="s">
        <v>92</v>
      </c>
      <c r="H15" s="7">
        <v>0</v>
      </c>
      <c r="I15" s="7" t="s">
        <v>91</v>
      </c>
      <c r="J15" s="7">
        <v>0</v>
      </c>
      <c r="K15" s="7" t="s">
        <v>99</v>
      </c>
      <c r="L15" s="7" t="s">
        <v>99</v>
      </c>
      <c r="M15" s="7" t="s">
        <v>372</v>
      </c>
      <c r="N15" s="7" t="s">
        <v>422</v>
      </c>
      <c r="O15" s="7" t="s">
        <v>99</v>
      </c>
      <c r="P15" s="7" t="s">
        <v>89</v>
      </c>
      <c r="Q15" s="7" t="s">
        <v>86</v>
      </c>
      <c r="R15" s="7" t="s">
        <v>423</v>
      </c>
    </row>
    <row r="16" spans="1:18" x14ac:dyDescent="0.3">
      <c r="A16" s="7" t="s">
        <v>437</v>
      </c>
      <c r="B16" s="7" t="s">
        <v>395</v>
      </c>
      <c r="C16" s="7" t="s">
        <v>204</v>
      </c>
      <c r="D16" s="7" t="s">
        <v>205</v>
      </c>
      <c r="E16" s="7" t="s">
        <v>421</v>
      </c>
      <c r="F16" s="7" t="s">
        <v>92</v>
      </c>
      <c r="G16" s="7" t="s">
        <v>92</v>
      </c>
      <c r="H16" s="7">
        <v>0</v>
      </c>
      <c r="I16" s="7" t="s">
        <v>91</v>
      </c>
      <c r="J16" s="7">
        <v>0</v>
      </c>
      <c r="K16" s="7" t="s">
        <v>99</v>
      </c>
      <c r="L16" s="7" t="s">
        <v>99</v>
      </c>
      <c r="M16" s="7" t="s">
        <v>372</v>
      </c>
      <c r="N16" s="7" t="s">
        <v>422</v>
      </c>
      <c r="O16" s="7" t="s">
        <v>99</v>
      </c>
      <c r="P16" s="7" t="s">
        <v>89</v>
      </c>
      <c r="Q16" s="7" t="s">
        <v>86</v>
      </c>
      <c r="R16" s="7" t="s">
        <v>423</v>
      </c>
    </row>
    <row r="17" spans="1:18" x14ac:dyDescent="0.3">
      <c r="A17" s="7" t="s">
        <v>438</v>
      </c>
      <c r="B17" s="7" t="s">
        <v>396</v>
      </c>
      <c r="C17" s="7" t="s">
        <v>211</v>
      </c>
      <c r="D17" s="7" t="s">
        <v>212</v>
      </c>
      <c r="E17" s="7" t="s">
        <v>421</v>
      </c>
      <c r="F17" s="7" t="s">
        <v>92</v>
      </c>
      <c r="G17" s="7" t="s">
        <v>92</v>
      </c>
      <c r="H17" s="7">
        <v>0</v>
      </c>
      <c r="I17" s="7" t="s">
        <v>91</v>
      </c>
      <c r="J17" s="7">
        <v>0</v>
      </c>
      <c r="K17" s="7" t="s">
        <v>99</v>
      </c>
      <c r="L17" s="7" t="s">
        <v>99</v>
      </c>
      <c r="M17" s="7" t="s">
        <v>372</v>
      </c>
      <c r="N17" s="7" t="s">
        <v>422</v>
      </c>
      <c r="O17" s="7" t="s">
        <v>99</v>
      </c>
      <c r="P17" s="7" t="s">
        <v>89</v>
      </c>
      <c r="Q17" s="7" t="s">
        <v>86</v>
      </c>
      <c r="R17" s="7" t="s">
        <v>423</v>
      </c>
    </row>
    <row r="18" spans="1:18" x14ac:dyDescent="0.3">
      <c r="A18" s="7" t="s">
        <v>439</v>
      </c>
      <c r="B18" s="7" t="s">
        <v>397</v>
      </c>
      <c r="C18" s="7" t="s">
        <v>219</v>
      </c>
      <c r="D18" s="7" t="s">
        <v>220</v>
      </c>
      <c r="E18" s="7" t="s">
        <v>421</v>
      </c>
      <c r="F18" s="7" t="s">
        <v>92</v>
      </c>
      <c r="G18" s="7" t="s">
        <v>92</v>
      </c>
      <c r="H18" s="7">
        <v>0</v>
      </c>
      <c r="I18" s="7" t="s">
        <v>91</v>
      </c>
      <c r="J18" s="7">
        <v>0</v>
      </c>
      <c r="K18" s="7" t="s">
        <v>99</v>
      </c>
      <c r="L18" s="7" t="s">
        <v>99</v>
      </c>
      <c r="M18" s="7" t="s">
        <v>372</v>
      </c>
      <c r="N18" s="7" t="s">
        <v>422</v>
      </c>
      <c r="O18" s="7" t="s">
        <v>99</v>
      </c>
      <c r="P18" s="7" t="s">
        <v>89</v>
      </c>
      <c r="Q18" s="7" t="s">
        <v>86</v>
      </c>
      <c r="R18" s="7" t="s">
        <v>423</v>
      </c>
    </row>
    <row r="19" spans="1:18" x14ac:dyDescent="0.3">
      <c r="A19" s="7" t="s">
        <v>440</v>
      </c>
      <c r="B19" s="7" t="s">
        <v>398</v>
      </c>
      <c r="C19" s="7" t="s">
        <v>226</v>
      </c>
      <c r="D19" s="7" t="s">
        <v>227</v>
      </c>
      <c r="E19" s="7" t="s">
        <v>421</v>
      </c>
      <c r="F19" s="7" t="s">
        <v>92</v>
      </c>
      <c r="G19" s="7" t="s">
        <v>92</v>
      </c>
      <c r="H19" s="7">
        <v>0</v>
      </c>
      <c r="I19" s="7" t="s">
        <v>91</v>
      </c>
      <c r="J19" s="7">
        <v>0</v>
      </c>
      <c r="K19" s="7" t="s">
        <v>99</v>
      </c>
      <c r="L19" s="7" t="s">
        <v>99</v>
      </c>
      <c r="M19" s="7" t="s">
        <v>372</v>
      </c>
      <c r="N19" s="7" t="s">
        <v>422</v>
      </c>
      <c r="O19" s="7" t="s">
        <v>99</v>
      </c>
      <c r="P19" s="7" t="s">
        <v>89</v>
      </c>
      <c r="Q19" s="7" t="s">
        <v>86</v>
      </c>
      <c r="R19" s="7" t="s">
        <v>423</v>
      </c>
    </row>
    <row r="20" spans="1:18" x14ac:dyDescent="0.3">
      <c r="A20" s="7" t="s">
        <v>441</v>
      </c>
      <c r="B20" s="7" t="s">
        <v>399</v>
      </c>
      <c r="C20" s="7" t="s">
        <v>233</v>
      </c>
      <c r="D20" s="7" t="s">
        <v>234</v>
      </c>
      <c r="E20" s="7" t="s">
        <v>421</v>
      </c>
      <c r="F20" s="7" t="s">
        <v>92</v>
      </c>
      <c r="G20" s="7" t="s">
        <v>92</v>
      </c>
      <c r="H20" s="7">
        <v>0</v>
      </c>
      <c r="I20" s="7" t="s">
        <v>91</v>
      </c>
      <c r="J20" s="7">
        <v>0</v>
      </c>
      <c r="K20" s="7" t="s">
        <v>99</v>
      </c>
      <c r="L20" s="7" t="s">
        <v>99</v>
      </c>
      <c r="M20" s="7" t="s">
        <v>372</v>
      </c>
      <c r="N20" s="7" t="s">
        <v>422</v>
      </c>
      <c r="O20" s="7" t="s">
        <v>99</v>
      </c>
      <c r="P20" s="7" t="s">
        <v>89</v>
      </c>
      <c r="Q20" s="7" t="s">
        <v>86</v>
      </c>
      <c r="R20" s="7" t="s">
        <v>423</v>
      </c>
    </row>
    <row r="21" spans="1:18" x14ac:dyDescent="0.3">
      <c r="A21" s="7" t="s">
        <v>442</v>
      </c>
      <c r="B21" s="7" t="s">
        <v>400</v>
      </c>
      <c r="C21" s="7" t="s">
        <v>240</v>
      </c>
      <c r="D21" s="7" t="s">
        <v>241</v>
      </c>
      <c r="E21" s="7" t="s">
        <v>421</v>
      </c>
      <c r="F21" s="7" t="s">
        <v>92</v>
      </c>
      <c r="G21" s="7" t="s">
        <v>92</v>
      </c>
      <c r="H21" s="7">
        <v>0</v>
      </c>
      <c r="I21" s="7" t="s">
        <v>91</v>
      </c>
      <c r="J21" s="7">
        <v>0</v>
      </c>
      <c r="K21" s="7" t="s">
        <v>99</v>
      </c>
      <c r="L21" s="7" t="s">
        <v>99</v>
      </c>
      <c r="M21" s="7" t="s">
        <v>372</v>
      </c>
      <c r="N21" s="7" t="s">
        <v>422</v>
      </c>
      <c r="O21" s="7" t="s">
        <v>99</v>
      </c>
      <c r="P21" s="7" t="s">
        <v>89</v>
      </c>
      <c r="Q21" s="7" t="s">
        <v>86</v>
      </c>
      <c r="R21" s="7" t="s">
        <v>423</v>
      </c>
    </row>
    <row r="22" spans="1:18" x14ac:dyDescent="0.3">
      <c r="A22" s="7" t="s">
        <v>443</v>
      </c>
      <c r="B22" s="7" t="s">
        <v>401</v>
      </c>
      <c r="C22" s="7" t="s">
        <v>247</v>
      </c>
      <c r="D22" s="7" t="s">
        <v>248</v>
      </c>
      <c r="E22" s="7" t="s">
        <v>421</v>
      </c>
      <c r="F22" s="7" t="s">
        <v>92</v>
      </c>
      <c r="G22" s="7" t="s">
        <v>92</v>
      </c>
      <c r="H22" s="7">
        <v>0</v>
      </c>
      <c r="I22" s="7" t="s">
        <v>91</v>
      </c>
      <c r="J22" s="7">
        <v>0</v>
      </c>
      <c r="K22" s="7" t="s">
        <v>99</v>
      </c>
      <c r="L22" s="7" t="s">
        <v>99</v>
      </c>
      <c r="M22" s="7" t="s">
        <v>372</v>
      </c>
      <c r="N22" s="7" t="s">
        <v>422</v>
      </c>
      <c r="O22" s="7" t="s">
        <v>99</v>
      </c>
      <c r="P22" s="7" t="s">
        <v>89</v>
      </c>
      <c r="Q22" s="7" t="s">
        <v>86</v>
      </c>
      <c r="R22" s="7" t="s">
        <v>423</v>
      </c>
    </row>
    <row r="23" spans="1:18" x14ac:dyDescent="0.3">
      <c r="A23" s="7" t="s">
        <v>444</v>
      </c>
      <c r="B23" s="7" t="s">
        <v>402</v>
      </c>
      <c r="C23" s="7" t="s">
        <v>254</v>
      </c>
      <c r="D23" s="7" t="s">
        <v>255</v>
      </c>
      <c r="E23" s="7" t="s">
        <v>421</v>
      </c>
      <c r="F23" s="7" t="s">
        <v>92</v>
      </c>
      <c r="G23" s="7" t="s">
        <v>92</v>
      </c>
      <c r="H23" s="7">
        <v>0</v>
      </c>
      <c r="I23" s="7" t="s">
        <v>91</v>
      </c>
      <c r="J23" s="7">
        <v>0</v>
      </c>
      <c r="K23" s="7" t="s">
        <v>99</v>
      </c>
      <c r="L23" s="7" t="s">
        <v>99</v>
      </c>
      <c r="M23" s="7" t="s">
        <v>372</v>
      </c>
      <c r="N23" s="7" t="s">
        <v>422</v>
      </c>
      <c r="O23" s="7" t="s">
        <v>99</v>
      </c>
      <c r="P23" s="7" t="s">
        <v>89</v>
      </c>
      <c r="Q23" s="7" t="s">
        <v>86</v>
      </c>
      <c r="R23" s="7" t="s">
        <v>423</v>
      </c>
    </row>
    <row r="24" spans="1:18" x14ac:dyDescent="0.3">
      <c r="A24" s="7" t="s">
        <v>445</v>
      </c>
      <c r="B24" s="7" t="s">
        <v>403</v>
      </c>
      <c r="C24" s="7" t="s">
        <v>261</v>
      </c>
      <c r="D24" s="7" t="s">
        <v>262</v>
      </c>
      <c r="E24" s="7" t="s">
        <v>421</v>
      </c>
      <c r="F24" s="7" t="s">
        <v>92</v>
      </c>
      <c r="G24" s="7" t="s">
        <v>92</v>
      </c>
      <c r="H24" s="7">
        <v>0</v>
      </c>
      <c r="I24" s="7" t="s">
        <v>91</v>
      </c>
      <c r="J24" s="7">
        <v>0</v>
      </c>
      <c r="K24" s="7" t="s">
        <v>99</v>
      </c>
      <c r="L24" s="7" t="s">
        <v>99</v>
      </c>
      <c r="M24" s="7" t="s">
        <v>372</v>
      </c>
      <c r="N24" s="7" t="s">
        <v>422</v>
      </c>
      <c r="O24" s="7" t="s">
        <v>99</v>
      </c>
      <c r="P24" s="7" t="s">
        <v>89</v>
      </c>
      <c r="Q24" s="7" t="s">
        <v>86</v>
      </c>
      <c r="R24" s="7" t="s">
        <v>423</v>
      </c>
    </row>
    <row r="25" spans="1:18" x14ac:dyDescent="0.3">
      <c r="A25" s="7" t="s">
        <v>446</v>
      </c>
      <c r="B25" s="7" t="s">
        <v>404</v>
      </c>
      <c r="C25" s="7" t="s">
        <v>268</v>
      </c>
      <c r="D25" s="7" t="s">
        <v>269</v>
      </c>
      <c r="E25" s="7" t="s">
        <v>421</v>
      </c>
      <c r="F25" s="7" t="s">
        <v>92</v>
      </c>
      <c r="G25" s="7" t="s">
        <v>92</v>
      </c>
      <c r="H25" s="7">
        <v>0</v>
      </c>
      <c r="I25" s="7" t="s">
        <v>91</v>
      </c>
      <c r="J25" s="7">
        <v>0</v>
      </c>
      <c r="K25" s="7" t="s">
        <v>99</v>
      </c>
      <c r="L25" s="7" t="s">
        <v>99</v>
      </c>
      <c r="M25" s="7" t="s">
        <v>372</v>
      </c>
      <c r="N25" s="7" t="s">
        <v>422</v>
      </c>
      <c r="O25" s="7" t="s">
        <v>99</v>
      </c>
      <c r="P25" s="7" t="s">
        <v>89</v>
      </c>
      <c r="Q25" s="7" t="s">
        <v>86</v>
      </c>
      <c r="R25" s="7" t="s">
        <v>423</v>
      </c>
    </row>
    <row r="26" spans="1:18" x14ac:dyDescent="0.3">
      <c r="A26" s="7" t="s">
        <v>447</v>
      </c>
      <c r="B26" s="7" t="s">
        <v>405</v>
      </c>
      <c r="C26" s="7" t="s">
        <v>275</v>
      </c>
      <c r="D26" s="7" t="s">
        <v>276</v>
      </c>
      <c r="E26" s="7" t="s">
        <v>421</v>
      </c>
      <c r="F26" s="7" t="s">
        <v>92</v>
      </c>
      <c r="G26" s="7" t="s">
        <v>92</v>
      </c>
      <c r="H26" s="7">
        <v>0</v>
      </c>
      <c r="I26" s="7" t="s">
        <v>91</v>
      </c>
      <c r="J26" s="7">
        <v>0</v>
      </c>
      <c r="K26" s="7" t="s">
        <v>99</v>
      </c>
      <c r="L26" s="7" t="s">
        <v>99</v>
      </c>
      <c r="M26" s="7" t="s">
        <v>372</v>
      </c>
      <c r="N26" s="7" t="s">
        <v>422</v>
      </c>
      <c r="O26" s="7" t="s">
        <v>99</v>
      </c>
      <c r="P26" s="7" t="s">
        <v>89</v>
      </c>
      <c r="Q26" s="7" t="s">
        <v>86</v>
      </c>
      <c r="R26" s="7" t="s">
        <v>423</v>
      </c>
    </row>
    <row r="27" spans="1:18" x14ac:dyDescent="0.3">
      <c r="A27" s="7" t="s">
        <v>448</v>
      </c>
      <c r="B27" s="7" t="s">
        <v>406</v>
      </c>
      <c r="C27" s="7" t="s">
        <v>282</v>
      </c>
      <c r="D27" s="7" t="s">
        <v>283</v>
      </c>
      <c r="E27" s="7" t="s">
        <v>421</v>
      </c>
      <c r="F27" s="7" t="s">
        <v>92</v>
      </c>
      <c r="G27" s="7" t="s">
        <v>92</v>
      </c>
      <c r="H27" s="7">
        <v>0</v>
      </c>
      <c r="I27" s="7" t="s">
        <v>91</v>
      </c>
      <c r="J27" s="7">
        <v>0</v>
      </c>
      <c r="K27" s="7" t="s">
        <v>99</v>
      </c>
      <c r="L27" s="7" t="s">
        <v>99</v>
      </c>
      <c r="M27" s="7" t="s">
        <v>372</v>
      </c>
      <c r="N27" s="7" t="s">
        <v>422</v>
      </c>
      <c r="O27" s="7" t="s">
        <v>99</v>
      </c>
      <c r="P27" s="7" t="s">
        <v>89</v>
      </c>
      <c r="Q27" s="7" t="s">
        <v>86</v>
      </c>
      <c r="R27" s="7" t="s">
        <v>423</v>
      </c>
    </row>
    <row r="28" spans="1:18" x14ac:dyDescent="0.3">
      <c r="A28" s="7" t="s">
        <v>449</v>
      </c>
      <c r="B28" s="7" t="s">
        <v>407</v>
      </c>
      <c r="C28" s="7" t="s">
        <v>289</v>
      </c>
      <c r="D28" s="7" t="s">
        <v>290</v>
      </c>
      <c r="E28" s="7" t="s">
        <v>421</v>
      </c>
      <c r="F28" s="7" t="s">
        <v>92</v>
      </c>
      <c r="G28" s="7" t="s">
        <v>92</v>
      </c>
      <c r="H28" s="7">
        <v>0</v>
      </c>
      <c r="I28" s="7" t="s">
        <v>91</v>
      </c>
      <c r="J28" s="7">
        <v>0</v>
      </c>
      <c r="K28" s="7" t="s">
        <v>99</v>
      </c>
      <c r="L28" s="7" t="s">
        <v>99</v>
      </c>
      <c r="M28" s="7" t="s">
        <v>372</v>
      </c>
      <c r="N28" s="7" t="s">
        <v>422</v>
      </c>
      <c r="O28" s="7" t="s">
        <v>99</v>
      </c>
      <c r="P28" s="7" t="s">
        <v>89</v>
      </c>
      <c r="Q28" s="7" t="s">
        <v>86</v>
      </c>
      <c r="R28" s="7" t="s">
        <v>423</v>
      </c>
    </row>
    <row r="29" spans="1:18" x14ac:dyDescent="0.3">
      <c r="A29" s="7" t="s">
        <v>450</v>
      </c>
      <c r="B29" s="7" t="s">
        <v>408</v>
      </c>
      <c r="C29" s="7" t="s">
        <v>296</v>
      </c>
      <c r="D29" s="7" t="s">
        <v>297</v>
      </c>
      <c r="E29" s="7" t="s">
        <v>421</v>
      </c>
      <c r="F29" s="7" t="s">
        <v>92</v>
      </c>
      <c r="G29" s="7" t="s">
        <v>92</v>
      </c>
      <c r="H29" s="7">
        <v>0</v>
      </c>
      <c r="I29" s="7" t="s">
        <v>91</v>
      </c>
      <c r="J29" s="7">
        <v>0</v>
      </c>
      <c r="K29" s="7" t="s">
        <v>99</v>
      </c>
      <c r="L29" s="7" t="s">
        <v>99</v>
      </c>
      <c r="M29" s="7" t="s">
        <v>372</v>
      </c>
      <c r="N29" s="7" t="s">
        <v>422</v>
      </c>
      <c r="O29" s="7" t="s">
        <v>99</v>
      </c>
      <c r="P29" s="7" t="s">
        <v>89</v>
      </c>
      <c r="Q29" s="7" t="s">
        <v>86</v>
      </c>
      <c r="R29" s="7" t="s">
        <v>423</v>
      </c>
    </row>
    <row r="30" spans="1:18" x14ac:dyDescent="0.3">
      <c r="A30" s="7" t="s">
        <v>451</v>
      </c>
      <c r="B30" s="7" t="s">
        <v>409</v>
      </c>
      <c r="C30" s="7" t="s">
        <v>303</v>
      </c>
      <c r="D30" s="7" t="s">
        <v>304</v>
      </c>
      <c r="E30" s="7" t="s">
        <v>421</v>
      </c>
      <c r="F30" s="7" t="s">
        <v>92</v>
      </c>
      <c r="G30" s="7" t="s">
        <v>92</v>
      </c>
      <c r="H30" s="7">
        <v>0</v>
      </c>
      <c r="I30" s="7" t="s">
        <v>91</v>
      </c>
      <c r="J30" s="7">
        <v>0</v>
      </c>
      <c r="K30" s="7" t="s">
        <v>99</v>
      </c>
      <c r="L30" s="7" t="s">
        <v>99</v>
      </c>
      <c r="M30" s="7" t="s">
        <v>372</v>
      </c>
      <c r="N30" s="7" t="s">
        <v>422</v>
      </c>
      <c r="O30" s="7" t="s">
        <v>99</v>
      </c>
      <c r="P30" s="7" t="s">
        <v>89</v>
      </c>
      <c r="Q30" s="7" t="s">
        <v>86</v>
      </c>
      <c r="R30" s="7" t="s">
        <v>423</v>
      </c>
    </row>
    <row r="31" spans="1:18" x14ac:dyDescent="0.3">
      <c r="A31" s="7" t="s">
        <v>452</v>
      </c>
      <c r="B31" s="7" t="s">
        <v>410</v>
      </c>
      <c r="C31" s="7" t="s">
        <v>310</v>
      </c>
      <c r="D31" s="7" t="s">
        <v>311</v>
      </c>
      <c r="E31" s="7" t="s">
        <v>421</v>
      </c>
      <c r="F31" s="7" t="s">
        <v>92</v>
      </c>
      <c r="G31" s="7" t="s">
        <v>92</v>
      </c>
      <c r="H31" s="7">
        <v>0</v>
      </c>
      <c r="I31" s="7" t="s">
        <v>91</v>
      </c>
      <c r="J31" s="7">
        <v>0</v>
      </c>
      <c r="K31" s="7" t="s">
        <v>99</v>
      </c>
      <c r="L31" s="7" t="s">
        <v>99</v>
      </c>
      <c r="M31" s="7" t="s">
        <v>372</v>
      </c>
      <c r="N31" s="7" t="s">
        <v>422</v>
      </c>
      <c r="O31" s="7" t="s">
        <v>99</v>
      </c>
      <c r="P31" s="7" t="s">
        <v>89</v>
      </c>
      <c r="Q31" s="7" t="s">
        <v>86</v>
      </c>
      <c r="R31" s="7" t="s">
        <v>423</v>
      </c>
    </row>
  </sheetData>
  <dataValidations count="3">
    <dataValidation type="list" allowBlank="1" sqref="F2:G31" xr:uid="{00000000-0002-0000-0500-000000000000}">
      <formula1>"Open,In Progress,Blocked,Pending Validation,Closed,Deferred"</formula1>
    </dataValidation>
    <dataValidation type="list" allowBlank="1" sqref="O2:O31 K2:L31" xr:uid="{00000000-0002-0000-0500-000002000000}">
      <formula1>"Yes,No"</formula1>
    </dataValidation>
    <dataValidation type="list" allowBlank="1" sqref="M2:M31" xr:uid="{00000000-0002-0000-0500-000004000000}">
      <formula1>"None,Vendor Dependency,Business Dependency,Security Dependency,Contract Dependency"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1"/>
  <sheetViews>
    <sheetView workbookViewId="0">
      <selection activeCell="C15" sqref="C15"/>
    </sheetView>
  </sheetViews>
  <sheetFormatPr defaultRowHeight="14.4" x14ac:dyDescent="0.3"/>
  <cols>
    <col min="1" max="1" width="38" customWidth="1"/>
    <col min="2" max="2" width="24" customWidth="1"/>
    <col min="3" max="3" width="75" customWidth="1"/>
    <col min="5" max="5" width="12.109375" customWidth="1"/>
    <col min="6" max="6" width="11" customWidth="1"/>
  </cols>
  <sheetData>
    <row r="1" spans="1:6" ht="48" customHeight="1" x14ac:dyDescent="0.3">
      <c r="A1" s="1" t="s">
        <v>453</v>
      </c>
      <c r="B1" s="1" t="s">
        <v>21</v>
      </c>
      <c r="C1" s="1" t="s">
        <v>454</v>
      </c>
      <c r="E1" s="8" t="s">
        <v>54</v>
      </c>
      <c r="F1" s="8" t="s">
        <v>455</v>
      </c>
    </row>
    <row r="2" spans="1:6" x14ac:dyDescent="0.3">
      <c r="A2" s="7" t="s">
        <v>456</v>
      </c>
      <c r="B2" s="7">
        <v>30</v>
      </c>
      <c r="C2" s="7" t="s">
        <v>457</v>
      </c>
      <c r="E2" s="7" t="s">
        <v>458</v>
      </c>
      <c r="F2" s="7">
        <f>COUNTIF('Escalation Action Register'!S:S,E2)</f>
        <v>0</v>
      </c>
    </row>
    <row r="3" spans="1:6" x14ac:dyDescent="0.3">
      <c r="A3" s="7" t="s">
        <v>459</v>
      </c>
      <c r="B3" s="7">
        <v>30</v>
      </c>
      <c r="C3" s="7" t="s">
        <v>460</v>
      </c>
      <c r="E3" s="7" t="s">
        <v>461</v>
      </c>
      <c r="F3" s="7">
        <f>COUNTIF('Escalation Action Register'!S:S,E3)</f>
        <v>0</v>
      </c>
    </row>
    <row r="4" spans="1:6" x14ac:dyDescent="0.3">
      <c r="A4" s="7" t="s">
        <v>462</v>
      </c>
      <c r="B4" s="7">
        <v>30</v>
      </c>
      <c r="C4" s="7" t="s">
        <v>463</v>
      </c>
      <c r="E4" s="7" t="s">
        <v>90</v>
      </c>
      <c r="F4" s="7">
        <f>COUNTIF('Escalation Action Register'!S:S,E4)</f>
        <v>30</v>
      </c>
    </row>
    <row r="5" spans="1:6" x14ac:dyDescent="0.3">
      <c r="A5" s="7" t="s">
        <v>464</v>
      </c>
      <c r="B5" s="7">
        <v>30</v>
      </c>
      <c r="C5" s="7" t="s">
        <v>465</v>
      </c>
      <c r="E5" s="7" t="s">
        <v>466</v>
      </c>
      <c r="F5" s="7">
        <f>COUNTIF('Escalation Action Register'!S:S,E5)</f>
        <v>0</v>
      </c>
    </row>
    <row r="6" spans="1:6" x14ac:dyDescent="0.3">
      <c r="A6" s="7" t="s">
        <v>467</v>
      </c>
      <c r="B6" s="7">
        <v>30</v>
      </c>
      <c r="C6" s="7" t="s">
        <v>468</v>
      </c>
    </row>
    <row r="7" spans="1:6" x14ac:dyDescent="0.3">
      <c r="A7" s="7" t="s">
        <v>469</v>
      </c>
      <c r="B7" s="7">
        <f>COUNTIF('Escalation Action Register'!S:S,"Critical")+COUNTIF('Escalation Action Register'!S:S,"High")</f>
        <v>0</v>
      </c>
      <c r="C7" s="7" t="s">
        <v>470</v>
      </c>
    </row>
    <row r="8" spans="1:6" x14ac:dyDescent="0.3">
      <c r="A8" s="7" t="s">
        <v>471</v>
      </c>
      <c r="B8" s="7">
        <f>COUNTIF('Escalation Action Register'!U:U,"Blocked")</f>
        <v>0</v>
      </c>
      <c r="C8" s="7" t="s">
        <v>472</v>
      </c>
    </row>
    <row r="9" spans="1:6" x14ac:dyDescent="0.3">
      <c r="A9" s="7" t="s">
        <v>473</v>
      </c>
      <c r="B9" s="7">
        <f>COUNTIF('Escalation Action Register'!U:U,"Open")+COUNTIF('Escalation Action Register'!U:U,"In Progress")</f>
        <v>30</v>
      </c>
      <c r="C9" s="7" t="s">
        <v>474</v>
      </c>
    </row>
    <row r="10" spans="1:6" x14ac:dyDescent="0.3">
      <c r="A10" s="7" t="s">
        <v>475</v>
      </c>
      <c r="B10" s="7">
        <f>COUNTIF('Escalation Action Register'!U:U,"Pending Validation")</f>
        <v>0</v>
      </c>
      <c r="C10" s="7" t="s">
        <v>476</v>
      </c>
    </row>
    <row r="11" spans="1:6" x14ac:dyDescent="0.3">
      <c r="A11" s="7" t="s">
        <v>477</v>
      </c>
      <c r="B11" s="7">
        <f>COUNTIF('Escalation Action Register'!AF:AF,"Yes")</f>
        <v>0</v>
      </c>
      <c r="C11" s="7" t="s">
        <v>478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workbookViewId="0">
      <selection activeCell="B2" sqref="A1:C8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ht="48" customHeight="1" x14ac:dyDescent="0.3">
      <c r="A1" s="6" t="s">
        <v>479</v>
      </c>
      <c r="B1" s="6" t="s">
        <v>480</v>
      </c>
      <c r="C1" s="6" t="s">
        <v>481</v>
      </c>
    </row>
    <row r="2" spans="1:3" x14ac:dyDescent="0.3">
      <c r="A2" s="7" t="s">
        <v>482</v>
      </c>
      <c r="B2" s="7" t="s">
        <v>483</v>
      </c>
      <c r="C2" s="7" t="s">
        <v>484</v>
      </c>
    </row>
    <row r="3" spans="1:3" x14ac:dyDescent="0.3">
      <c r="A3" s="7" t="s">
        <v>46</v>
      </c>
      <c r="B3" s="7" t="s">
        <v>485</v>
      </c>
      <c r="C3" s="7" t="s">
        <v>486</v>
      </c>
    </row>
    <row r="4" spans="1:3" x14ac:dyDescent="0.3">
      <c r="A4" s="7" t="s">
        <v>487</v>
      </c>
      <c r="B4" s="7" t="s">
        <v>488</v>
      </c>
      <c r="C4" s="7" t="s">
        <v>489</v>
      </c>
    </row>
    <row r="5" spans="1:3" x14ac:dyDescent="0.3">
      <c r="A5" s="7" t="s">
        <v>490</v>
      </c>
      <c r="B5" s="7" t="s">
        <v>491</v>
      </c>
      <c r="C5" s="7" t="s">
        <v>492</v>
      </c>
    </row>
    <row r="6" spans="1:3" x14ac:dyDescent="0.3">
      <c r="A6" s="7" t="s">
        <v>366</v>
      </c>
      <c r="B6" s="7" t="s">
        <v>493</v>
      </c>
      <c r="C6" s="7" t="s">
        <v>494</v>
      </c>
    </row>
    <row r="7" spans="1:3" x14ac:dyDescent="0.3">
      <c r="A7" s="7" t="s">
        <v>495</v>
      </c>
      <c r="B7" s="7" t="s">
        <v>496</v>
      </c>
      <c r="C7" s="7" t="s">
        <v>497</v>
      </c>
    </row>
    <row r="8" spans="1:3" x14ac:dyDescent="0.3">
      <c r="A8" s="7" t="s">
        <v>498</v>
      </c>
      <c r="B8" s="7" t="s">
        <v>499</v>
      </c>
      <c r="C8" s="7" t="s">
        <v>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40"/>
  <sheetViews>
    <sheetView tabSelected="1" workbookViewId="0">
      <selection activeCell="E16" sqref="E16"/>
    </sheetView>
  </sheetViews>
  <sheetFormatPr defaultRowHeight="14.4" x14ac:dyDescent="0.3"/>
  <cols>
    <col min="1" max="1" width="42" customWidth="1"/>
    <col min="2" max="2" width="110" customWidth="1"/>
  </cols>
  <sheetData>
    <row r="1" spans="1:2" ht="48" customHeight="1" x14ac:dyDescent="0.3">
      <c r="A1" s="6" t="s">
        <v>20</v>
      </c>
      <c r="B1" s="6" t="s">
        <v>10</v>
      </c>
    </row>
    <row r="2" spans="1:2" x14ac:dyDescent="0.3">
      <c r="A2" s="7" t="s">
        <v>36</v>
      </c>
      <c r="B2" s="7" t="s">
        <v>501</v>
      </c>
    </row>
    <row r="3" spans="1:2" x14ac:dyDescent="0.3">
      <c r="A3" s="7" t="s">
        <v>37</v>
      </c>
      <c r="B3" s="7" t="s">
        <v>501</v>
      </c>
    </row>
    <row r="4" spans="1:2" x14ac:dyDescent="0.3">
      <c r="A4" s="7" t="s">
        <v>38</v>
      </c>
      <c r="B4" s="7" t="s">
        <v>501</v>
      </c>
    </row>
    <row r="5" spans="1:2" x14ac:dyDescent="0.3">
      <c r="A5" s="7" t="s">
        <v>39</v>
      </c>
      <c r="B5" s="7" t="s">
        <v>501</v>
      </c>
    </row>
    <row r="6" spans="1:2" x14ac:dyDescent="0.3">
      <c r="A6" s="7" t="s">
        <v>40</v>
      </c>
      <c r="B6" s="7" t="s">
        <v>501</v>
      </c>
    </row>
    <row r="7" spans="1:2" x14ac:dyDescent="0.3">
      <c r="A7" s="7" t="s">
        <v>41</v>
      </c>
      <c r="B7" s="7" t="s">
        <v>501</v>
      </c>
    </row>
    <row r="8" spans="1:2" x14ac:dyDescent="0.3">
      <c r="A8" s="7" t="s">
        <v>42</v>
      </c>
      <c r="B8" s="7" t="s">
        <v>501</v>
      </c>
    </row>
    <row r="9" spans="1:2" x14ac:dyDescent="0.3">
      <c r="A9" s="7" t="s">
        <v>43</v>
      </c>
      <c r="B9" s="7" t="s">
        <v>501</v>
      </c>
    </row>
    <row r="10" spans="1:2" x14ac:dyDescent="0.3">
      <c r="A10" s="7" t="s">
        <v>44</v>
      </c>
      <c r="B10" s="7" t="s">
        <v>501</v>
      </c>
    </row>
    <row r="11" spans="1:2" x14ac:dyDescent="0.3">
      <c r="A11" s="7" t="s">
        <v>45</v>
      </c>
      <c r="B11" s="7" t="s">
        <v>501</v>
      </c>
    </row>
    <row r="12" spans="1:2" x14ac:dyDescent="0.3">
      <c r="A12" s="7" t="s">
        <v>46</v>
      </c>
      <c r="B12" s="7" t="s">
        <v>501</v>
      </c>
    </row>
    <row r="13" spans="1:2" x14ac:dyDescent="0.3">
      <c r="A13" s="7" t="s">
        <v>47</v>
      </c>
      <c r="B13" s="7" t="s">
        <v>501</v>
      </c>
    </row>
    <row r="14" spans="1:2" x14ac:dyDescent="0.3">
      <c r="A14" s="7" t="s">
        <v>48</v>
      </c>
      <c r="B14" s="7" t="s">
        <v>501</v>
      </c>
    </row>
    <row r="15" spans="1:2" x14ac:dyDescent="0.3">
      <c r="A15" s="7" t="s">
        <v>49</v>
      </c>
      <c r="B15" s="7" t="s">
        <v>501</v>
      </c>
    </row>
    <row r="16" spans="1:2" x14ac:dyDescent="0.3">
      <c r="A16" s="7" t="s">
        <v>50</v>
      </c>
      <c r="B16" s="7" t="s">
        <v>501</v>
      </c>
    </row>
    <row r="17" spans="1:2" x14ac:dyDescent="0.3">
      <c r="A17" s="7" t="s">
        <v>51</v>
      </c>
      <c r="B17" s="7" t="s">
        <v>501</v>
      </c>
    </row>
    <row r="18" spans="1:2" x14ac:dyDescent="0.3">
      <c r="A18" s="7" t="s">
        <v>52</v>
      </c>
      <c r="B18" s="7" t="s">
        <v>501</v>
      </c>
    </row>
    <row r="19" spans="1:2" x14ac:dyDescent="0.3">
      <c r="A19" s="7" t="s">
        <v>53</v>
      </c>
      <c r="B19" s="7" t="s">
        <v>501</v>
      </c>
    </row>
    <row r="20" spans="1:2" x14ac:dyDescent="0.3">
      <c r="A20" s="7" t="s">
        <v>54</v>
      </c>
      <c r="B20" s="7" t="s">
        <v>501</v>
      </c>
    </row>
    <row r="21" spans="1:2" x14ac:dyDescent="0.3">
      <c r="A21" s="7" t="s">
        <v>55</v>
      </c>
      <c r="B21" s="7" t="s">
        <v>501</v>
      </c>
    </row>
    <row r="22" spans="1:2" x14ac:dyDescent="0.3">
      <c r="A22" s="7" t="s">
        <v>8</v>
      </c>
      <c r="B22" s="7" t="s">
        <v>501</v>
      </c>
    </row>
    <row r="23" spans="1:2" x14ac:dyDescent="0.3">
      <c r="A23" s="7" t="s">
        <v>56</v>
      </c>
      <c r="B23" s="7" t="s">
        <v>501</v>
      </c>
    </row>
    <row r="24" spans="1:2" x14ac:dyDescent="0.3">
      <c r="A24" s="7" t="s">
        <v>57</v>
      </c>
      <c r="B24" s="7" t="s">
        <v>501</v>
      </c>
    </row>
    <row r="25" spans="1:2" x14ac:dyDescent="0.3">
      <c r="A25" s="7" t="s">
        <v>58</v>
      </c>
      <c r="B25" s="7" t="s">
        <v>501</v>
      </c>
    </row>
    <row r="26" spans="1:2" x14ac:dyDescent="0.3">
      <c r="A26" s="7" t="s">
        <v>59</v>
      </c>
      <c r="B26" s="7" t="s">
        <v>501</v>
      </c>
    </row>
    <row r="27" spans="1:2" x14ac:dyDescent="0.3">
      <c r="A27" s="7" t="s">
        <v>60</v>
      </c>
      <c r="B27" s="7" t="s">
        <v>501</v>
      </c>
    </row>
    <row r="28" spans="1:2" x14ac:dyDescent="0.3">
      <c r="A28" s="7" t="s">
        <v>61</v>
      </c>
      <c r="B28" s="7" t="s">
        <v>501</v>
      </c>
    </row>
    <row r="29" spans="1:2" x14ac:dyDescent="0.3">
      <c r="A29" s="7" t="s">
        <v>62</v>
      </c>
      <c r="B29" s="7" t="s">
        <v>501</v>
      </c>
    </row>
    <row r="30" spans="1:2" x14ac:dyDescent="0.3">
      <c r="A30" s="7" t="s">
        <v>63</v>
      </c>
      <c r="B30" s="7" t="s">
        <v>501</v>
      </c>
    </row>
    <row r="31" spans="1:2" x14ac:dyDescent="0.3">
      <c r="A31" s="7" t="s">
        <v>64</v>
      </c>
      <c r="B31" s="7" t="s">
        <v>501</v>
      </c>
    </row>
    <row r="32" spans="1:2" x14ac:dyDescent="0.3">
      <c r="A32" s="7" t="s">
        <v>65</v>
      </c>
      <c r="B32" s="7" t="s">
        <v>501</v>
      </c>
    </row>
    <row r="33" spans="1:2" x14ac:dyDescent="0.3">
      <c r="A33" s="7" t="s">
        <v>66</v>
      </c>
      <c r="B33" s="7" t="s">
        <v>501</v>
      </c>
    </row>
    <row r="34" spans="1:2" x14ac:dyDescent="0.3">
      <c r="A34" s="7" t="s">
        <v>67</v>
      </c>
      <c r="B34" s="7" t="s">
        <v>501</v>
      </c>
    </row>
    <row r="35" spans="1:2" x14ac:dyDescent="0.3">
      <c r="A35" s="7" t="s">
        <v>68</v>
      </c>
      <c r="B35" s="7" t="s">
        <v>501</v>
      </c>
    </row>
    <row r="36" spans="1:2" x14ac:dyDescent="0.3">
      <c r="A36" s="7" t="s">
        <v>69</v>
      </c>
      <c r="B36" s="7" t="s">
        <v>501</v>
      </c>
    </row>
    <row r="37" spans="1:2" x14ac:dyDescent="0.3">
      <c r="A37" s="7" t="s">
        <v>70</v>
      </c>
      <c r="B37" s="7" t="s">
        <v>501</v>
      </c>
    </row>
    <row r="38" spans="1:2" x14ac:dyDescent="0.3">
      <c r="A38" s="7" t="s">
        <v>71</v>
      </c>
      <c r="B38" s="7" t="s">
        <v>501</v>
      </c>
    </row>
    <row r="39" spans="1:2" x14ac:dyDescent="0.3">
      <c r="A39" s="7" t="s">
        <v>72</v>
      </c>
      <c r="B39" s="7" t="s">
        <v>501</v>
      </c>
    </row>
    <row r="40" spans="1:2" x14ac:dyDescent="0.3">
      <c r="A40" s="7" t="s">
        <v>73</v>
      </c>
      <c r="B40" s="7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Escalation Action Register</vt:lpstr>
      <vt:lpstr>Escalation Log</vt:lpstr>
      <vt:lpstr>Management Action Tracker</vt:lpstr>
      <vt:lpstr>Action Review Log</vt:lpstr>
      <vt:lpstr>Executive Summary</vt:lpstr>
      <vt:lpstr>Escalation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2026-08-25T07:35:12Z</dcterms:created>
  <dcterms:modified xsi:type="dcterms:W3CDTF">2026-08-25T07:38:26Z</dcterms:modified>
</cp:coreProperties>
</file>