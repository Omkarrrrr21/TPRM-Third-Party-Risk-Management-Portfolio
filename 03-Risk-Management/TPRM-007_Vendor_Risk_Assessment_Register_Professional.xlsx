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9B3A9E76-8230-48F5-B9C1-7D75923D607A}" xr6:coauthVersionLast="47" xr6:coauthVersionMax="47" xr10:uidLastSave="{00000000-0000-0000-0000-000000000000}"/>
  <bookViews>
    <workbookView xWindow="-108" yWindow="-108" windowWidth="23256" windowHeight="12576" firstSheet="4" activeTab="7" xr2:uid="{00000000-000D-0000-FFFF-FFFF00000000}"/>
  </bookViews>
  <sheets>
    <sheet name="README" sheetId="1" r:id="rId1"/>
    <sheet name="Document Control" sheetId="2" r:id="rId2"/>
    <sheet name="Risk Assessment Register" sheetId="3" r:id="rId3"/>
    <sheet name="Risk Scoring Methodology" sheetId="4" r:id="rId4"/>
    <sheet name="Risk Factor Assessment" sheetId="5" r:id="rId5"/>
    <sheet name="Risk Treatment Tracker" sheetId="6" r:id="rId6"/>
    <sheet name="Executive Summary" sheetId="7" r:id="rId7"/>
    <sheet name="Data 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8" i="7"/>
  <c r="B7" i="7"/>
  <c r="B6" i="7"/>
  <c r="B3" i="7"/>
  <c r="Z31" i="3"/>
  <c r="W31" i="3"/>
  <c r="Z30" i="3"/>
  <c r="W30" i="3"/>
  <c r="Z29" i="3"/>
  <c r="W29" i="3"/>
  <c r="Z28" i="3"/>
  <c r="W28" i="3"/>
  <c r="Z27" i="3"/>
  <c r="W27" i="3"/>
  <c r="Z26" i="3"/>
  <c r="W26" i="3"/>
  <c r="Z25" i="3"/>
  <c r="W25" i="3"/>
  <c r="Z24" i="3"/>
  <c r="W24" i="3"/>
  <c r="Z23" i="3"/>
  <c r="W23" i="3"/>
  <c r="Z22" i="3"/>
  <c r="W22" i="3"/>
  <c r="Z21" i="3"/>
  <c r="W21" i="3"/>
  <c r="Z20" i="3"/>
  <c r="W20" i="3"/>
  <c r="Z19" i="3"/>
  <c r="W19" i="3"/>
  <c r="Z18" i="3"/>
  <c r="W18" i="3"/>
  <c r="Z17" i="3"/>
  <c r="W17" i="3"/>
  <c r="Z16" i="3"/>
  <c r="W16" i="3"/>
  <c r="Z15" i="3"/>
  <c r="W15" i="3"/>
  <c r="Z14" i="3"/>
  <c r="W14" i="3"/>
  <c r="Z13" i="3"/>
  <c r="W13" i="3"/>
  <c r="Z12" i="3"/>
  <c r="W12" i="3"/>
  <c r="Z11" i="3"/>
  <c r="W11" i="3"/>
  <c r="Z10" i="3"/>
  <c r="W10" i="3"/>
  <c r="Z9" i="3"/>
  <c r="W9" i="3"/>
  <c r="Z8" i="3"/>
  <c r="W8" i="3"/>
  <c r="Z7" i="3"/>
  <c r="W7" i="3"/>
  <c r="Z6" i="3"/>
  <c r="W6" i="3"/>
  <c r="Z5" i="3"/>
  <c r="W5" i="3"/>
  <c r="Z4" i="3"/>
  <c r="W4" i="3"/>
  <c r="Z3" i="3"/>
  <c r="B4" i="7" s="1"/>
  <c r="W3" i="3"/>
  <c r="Z2" i="3"/>
  <c r="F5" i="7" s="1"/>
  <c r="W2" i="3"/>
  <c r="F2" i="7" l="1"/>
  <c r="F4" i="7"/>
  <c r="B5" i="7"/>
  <c r="F3" i="7"/>
</calcChain>
</file>

<file path=xl/sharedStrings.xml><?xml version="1.0" encoding="utf-8"?>
<sst xmlns="http://schemas.openxmlformats.org/spreadsheetml/2006/main" count="3629" uniqueCount="673">
  <si>
    <t>TPRM-007 | VENDOR RISK ASSESSMENT REGISTER</t>
  </si>
  <si>
    <t>Mayekar Technologies Pvt. Ltd.</t>
  </si>
  <si>
    <t>Document ID</t>
  </si>
  <si>
    <t>MTPL-TPRM-007</t>
  </si>
  <si>
    <t>Version</t>
  </si>
  <si>
    <t>1.0</t>
  </si>
  <si>
    <t>Prepared By</t>
  </si>
  <si>
    <t>Omkar Abhay Mayekar</t>
  </si>
  <si>
    <t>Reviewed By</t>
  </si>
  <si>
    <t>GRC Manager — Simulated</t>
  </si>
  <si>
    <t>Approved By</t>
  </si>
  <si>
    <t>Management — Simulated</t>
  </si>
  <si>
    <t>Status</t>
  </si>
  <si>
    <t>Portfolio / Simulated Evidence</t>
  </si>
  <si>
    <t>Purpose</t>
  </si>
  <si>
    <t>Central register for assessing inherent and residual third-party risk using consistent likelihood, impact, control effectiveness and risk-rating criteria.</t>
  </si>
  <si>
    <t>Scope</t>
  </si>
  <si>
    <t>Vendor business criticality, data sensitivity, access, security, privacy, compliance, operational resilience, concentration and other third-party risk factors.</t>
  </si>
  <si>
    <t>Risk Model</t>
  </si>
  <si>
    <t>Inherent Risk Score = Likelihood × Impact. Residual Risk Score = Inherent Risk Score adjusted for Control Effectiveness.</t>
  </si>
  <si>
    <t>Rating Bands</t>
  </si>
  <si>
    <t>1–4 Low | 5–9 Medium | 10–16 High | 17–25 Critical.</t>
  </si>
  <si>
    <t>Important</t>
  </si>
  <si>
    <t>This is a simulated portfolio assessment. Vendor records and scores must not be represented as real audit evidence.</t>
  </si>
  <si>
    <t>Field</t>
  </si>
  <si>
    <t>Value</t>
  </si>
  <si>
    <t>Document Title</t>
  </si>
  <si>
    <t>Vendor Risk Assessment Register</t>
  </si>
  <si>
    <t>Organization</t>
  </si>
  <si>
    <t>Effective Date</t>
  </si>
  <si>
    <t>2026-08-01</t>
  </si>
  <si>
    <t>Review Cycle</t>
  </si>
  <si>
    <t>Annual / Event Driven / Material Change</t>
  </si>
  <si>
    <t>Classification</t>
  </si>
  <si>
    <t>Internal / Confidential</t>
  </si>
  <si>
    <t>Assessment ID</t>
  </si>
  <si>
    <t>Vendor ID</t>
  </si>
  <si>
    <t>Vendor Name</t>
  </si>
  <si>
    <t>Vendor Tier</t>
  </si>
  <si>
    <t>Business Owner</t>
  </si>
  <si>
    <t>Vendor Owner</t>
  </si>
  <si>
    <t>Service / Product</t>
  </si>
  <si>
    <t>Criticality</t>
  </si>
  <si>
    <t>Data Sensitivity</t>
  </si>
  <si>
    <t>Data Types</t>
  </si>
  <si>
    <t>System / Network Access</t>
  </si>
  <si>
    <t>Privileged Access</t>
  </si>
  <si>
    <t>Regulatory / Compliance Impact</t>
  </si>
  <si>
    <t>Business Dependency</t>
  </si>
  <si>
    <t>Geographic Exposure</t>
  </si>
  <si>
    <t>Subprocessor Dependency</t>
  </si>
  <si>
    <t>Concentration Risk</t>
  </si>
  <si>
    <t>Threat Level</t>
  </si>
  <si>
    <t>Vulnerability Level</t>
  </si>
  <si>
    <t>Impact Score</t>
  </si>
  <si>
    <t>Likelihood Score</t>
  </si>
  <si>
    <t>Inherent Risk Score</t>
  </si>
  <si>
    <t>Inherent Risk Rating</t>
  </si>
  <si>
    <t>Control Effectiveness</t>
  </si>
  <si>
    <t>Residual Risk Score</t>
  </si>
  <si>
    <t>Residual Risk Rating</t>
  </si>
  <si>
    <t>Risk Treatment</t>
  </si>
  <si>
    <t>Target Residual Rating</t>
  </si>
  <si>
    <t>Risk Acceptance Required</t>
  </si>
  <si>
    <t>Assessment Status</t>
  </si>
  <si>
    <t>Assessment Date</t>
  </si>
  <si>
    <t>Next Review Date</t>
  </si>
  <si>
    <t>Assessor</t>
  </si>
  <si>
    <t>Evidence Reference</t>
  </si>
  <si>
    <t>Key Risk Factors</t>
  </si>
  <si>
    <t>Risk Decision / Rationale</t>
  </si>
  <si>
    <t>Comments</t>
  </si>
  <si>
    <t>VRA-001</t>
  </si>
  <si>
    <t>VND-001</t>
  </si>
  <si>
    <t>CloudSphere Technologies</t>
  </si>
  <si>
    <t>Tier 1</t>
  </si>
  <si>
    <t>IT Director</t>
  </si>
  <si>
    <t>Vendor Manager</t>
  </si>
  <si>
    <t>Cloud Infrastructure</t>
  </si>
  <si>
    <t>Critical</t>
  </si>
  <si>
    <t>High</t>
  </si>
  <si>
    <t>Customer / Business Data</t>
  </si>
  <si>
    <t>Application / API</t>
  </si>
  <si>
    <t>No</t>
  </si>
  <si>
    <t>To Be Assessed</t>
  </si>
  <si>
    <t>India / Global</t>
  </si>
  <si>
    <t>Low</t>
  </si>
  <si>
    <t>Medium</t>
  </si>
  <si>
    <t>Mitigate</t>
  </si>
  <si>
    <t>Assessed</t>
  </si>
  <si>
    <t>2026-08-25</t>
  </si>
  <si>
    <t>2026-11-25</t>
  </si>
  <si>
    <t>GRC Analyst</t>
  </si>
  <si>
    <t>VND-001-SEC-001</t>
  </si>
  <si>
    <t>Service criticality, data exposure, access, dependency and control effectiveness.</t>
  </si>
  <si>
    <t>Continue treatment and monitor residual risk.</t>
  </si>
  <si>
    <t>Simulated portfolio assessment.</t>
  </si>
  <si>
    <t>VRA-002</t>
  </si>
  <si>
    <t>VND-002</t>
  </si>
  <si>
    <t>SecurePay Solutions</t>
  </si>
  <si>
    <t>Finance Director</t>
  </si>
  <si>
    <t>Payment Processing</t>
  </si>
  <si>
    <t>VND-002-SEC-001</t>
  </si>
  <si>
    <t>VRA-003</t>
  </si>
  <si>
    <t>VND-003</t>
  </si>
  <si>
    <t>DataBridge Analytics</t>
  </si>
  <si>
    <t>Tier 2</t>
  </si>
  <si>
    <t>Analytics Service</t>
  </si>
  <si>
    <t>VND-003-SEC-001</t>
  </si>
  <si>
    <t>VRA-004</t>
  </si>
  <si>
    <t>VND-004</t>
  </si>
  <si>
    <t>HelpDeskPro Services</t>
  </si>
  <si>
    <t>Managed Support</t>
  </si>
  <si>
    <t>VND-004-SEC-001</t>
  </si>
  <si>
    <t>VRA-005</t>
  </si>
  <si>
    <t>VND-005</t>
  </si>
  <si>
    <t>PeopleCore HR</t>
  </si>
  <si>
    <t>HR Director</t>
  </si>
  <si>
    <t>HR SaaS</t>
  </si>
  <si>
    <t>VND-005-SEC-001</t>
  </si>
  <si>
    <t>VRA-006</t>
  </si>
  <si>
    <t>VND-006</t>
  </si>
  <si>
    <t>NetSecure Managed Services</t>
  </si>
  <si>
    <t>CISO</t>
  </si>
  <si>
    <t>Security Monitoring</t>
  </si>
  <si>
    <t>VND-006-SEC-001</t>
  </si>
  <si>
    <t>VRA-007</t>
  </si>
  <si>
    <t>VND-007</t>
  </si>
  <si>
    <t>OfficeFlow Solutions</t>
  </si>
  <si>
    <t>Tier 3</t>
  </si>
  <si>
    <t>Operations</t>
  </si>
  <si>
    <t>Business Application</t>
  </si>
  <si>
    <t>VND-007-SEC-001</t>
  </si>
  <si>
    <t>VRA-008</t>
  </si>
  <si>
    <t>VND-008</t>
  </si>
  <si>
    <t>LogiTrack Systems</t>
  </si>
  <si>
    <t>Logistics Platform</t>
  </si>
  <si>
    <t>VND-008-SEC-001</t>
  </si>
  <si>
    <t>VRA-009</t>
  </si>
  <si>
    <t>VND-009</t>
  </si>
  <si>
    <t>MarketReach Digital</t>
  </si>
  <si>
    <t>Marketing</t>
  </si>
  <si>
    <t>Marketing Platform</t>
  </si>
  <si>
    <t>VND-009-SEC-001</t>
  </si>
  <si>
    <t>VRA-010</t>
  </si>
  <si>
    <t>VND-010</t>
  </si>
  <si>
    <t>DocuVault Records</t>
  </si>
  <si>
    <t>Legal</t>
  </si>
  <si>
    <t>Records Management</t>
  </si>
  <si>
    <t>VND-010-SEC-001</t>
  </si>
  <si>
    <t>VRA-011</t>
  </si>
  <si>
    <t>VND-011</t>
  </si>
  <si>
    <t>Portfolio Vendor 11</t>
  </si>
  <si>
    <t>Third-Party Service</t>
  </si>
  <si>
    <t>VND-011-SEC-001</t>
  </si>
  <si>
    <t>VRA-012</t>
  </si>
  <si>
    <t>VND-012</t>
  </si>
  <si>
    <t>Portfolio Vendor 12</t>
  </si>
  <si>
    <t>VND-012-SEC-001</t>
  </si>
  <si>
    <t>VRA-013</t>
  </si>
  <si>
    <t>VND-013</t>
  </si>
  <si>
    <t>Portfolio Vendor 13</t>
  </si>
  <si>
    <t>VND-013-SEC-001</t>
  </si>
  <si>
    <t>VRA-014</t>
  </si>
  <si>
    <t>VND-014</t>
  </si>
  <si>
    <t>Portfolio Vendor 14</t>
  </si>
  <si>
    <t>VND-014-SEC-001</t>
  </si>
  <si>
    <t>VRA-015</t>
  </si>
  <si>
    <t>VND-015</t>
  </si>
  <si>
    <t>Portfolio Vendor 15</t>
  </si>
  <si>
    <t>VND-015-SEC-001</t>
  </si>
  <si>
    <t>VRA-016</t>
  </si>
  <si>
    <t>VND-016</t>
  </si>
  <si>
    <t>Portfolio Vendor 16</t>
  </si>
  <si>
    <t>VND-016-SEC-001</t>
  </si>
  <si>
    <t>VRA-017</t>
  </si>
  <si>
    <t>VND-017</t>
  </si>
  <si>
    <t>Portfolio Vendor 17</t>
  </si>
  <si>
    <t>VND-017-SEC-001</t>
  </si>
  <si>
    <t>VRA-018</t>
  </si>
  <si>
    <t>VND-018</t>
  </si>
  <si>
    <t>Portfolio Vendor 18</t>
  </si>
  <si>
    <t>VND-018-SEC-001</t>
  </si>
  <si>
    <t>VRA-019</t>
  </si>
  <si>
    <t>VND-019</t>
  </si>
  <si>
    <t>Portfolio Vendor 19</t>
  </si>
  <si>
    <t>VND-019-SEC-001</t>
  </si>
  <si>
    <t>VRA-020</t>
  </si>
  <si>
    <t>VND-020</t>
  </si>
  <si>
    <t>Portfolio Vendor 20</t>
  </si>
  <si>
    <t>VND-020-SEC-001</t>
  </si>
  <si>
    <t>VRA-021</t>
  </si>
  <si>
    <t>VND-021</t>
  </si>
  <si>
    <t>Portfolio Vendor 21</t>
  </si>
  <si>
    <t>VND-021-SEC-001</t>
  </si>
  <si>
    <t>VRA-022</t>
  </si>
  <si>
    <t>VND-022</t>
  </si>
  <si>
    <t>Portfolio Vendor 22</t>
  </si>
  <si>
    <t>VND-022-SEC-001</t>
  </si>
  <si>
    <t>VRA-023</t>
  </si>
  <si>
    <t>VND-023</t>
  </si>
  <si>
    <t>Portfolio Vendor 23</t>
  </si>
  <si>
    <t>VND-023-SEC-001</t>
  </si>
  <si>
    <t>VRA-024</t>
  </si>
  <si>
    <t>VND-024</t>
  </si>
  <si>
    <t>Portfolio Vendor 24</t>
  </si>
  <si>
    <t>VND-024-SEC-001</t>
  </si>
  <si>
    <t>VRA-025</t>
  </si>
  <si>
    <t>VND-025</t>
  </si>
  <si>
    <t>Portfolio Vendor 25</t>
  </si>
  <si>
    <t>VND-025-SEC-001</t>
  </si>
  <si>
    <t>VRA-026</t>
  </si>
  <si>
    <t>VND-026</t>
  </si>
  <si>
    <t>Portfolio Vendor 26</t>
  </si>
  <si>
    <t>VND-026-SEC-001</t>
  </si>
  <si>
    <t>VRA-027</t>
  </si>
  <si>
    <t>VND-027</t>
  </si>
  <si>
    <t>Portfolio Vendor 27</t>
  </si>
  <si>
    <t>VND-027-SEC-001</t>
  </si>
  <si>
    <t>VRA-028</t>
  </si>
  <si>
    <t>VND-028</t>
  </si>
  <si>
    <t>Portfolio Vendor 28</t>
  </si>
  <si>
    <t>VND-028-SEC-001</t>
  </si>
  <si>
    <t>VRA-029</t>
  </si>
  <si>
    <t>VND-029</t>
  </si>
  <si>
    <t>Portfolio Vendor 29</t>
  </si>
  <si>
    <t>VND-029-SEC-001</t>
  </si>
  <si>
    <t>VRA-030</t>
  </si>
  <si>
    <t>VND-030</t>
  </si>
  <si>
    <t>Portfolio Vendor 30</t>
  </si>
  <si>
    <t>VND-030-SEC-001</t>
  </si>
  <si>
    <t>Element</t>
  </si>
  <si>
    <t>Definition</t>
  </si>
  <si>
    <t>Scale / Rule</t>
  </si>
  <si>
    <t>Likelihood</t>
  </si>
  <si>
    <t>Probability that the vendor risk event may occur.</t>
  </si>
  <si>
    <t>1 Rare | 2 Unlikely | 3 Possible | 4 Likely | 5 Almost Certain</t>
  </si>
  <si>
    <t>Impact</t>
  </si>
  <si>
    <t>Business/security impact if the risk materializes.</t>
  </si>
  <si>
    <t>1 Insignificant | 2 Minor | 3 Moderate | 4 Major | 5 Severe</t>
  </si>
  <si>
    <t>Risk before considering control effectiveness.</t>
  </si>
  <si>
    <t>Likelihood × Impact</t>
  </si>
  <si>
    <t>Inherent Rating</t>
  </si>
  <si>
    <t>Risk band from inherent score.</t>
  </si>
  <si>
    <t>1–4 Low | 5–9 Medium | 10–16 High | 17–25 Critical</t>
  </si>
  <si>
    <t>Overall effectiveness of relevant vendor controls.</t>
  </si>
  <si>
    <t>0% None | 20% Weak | 40% Limited | 60% Moderate | 80% Strong | 100% Fully Effective</t>
  </si>
  <si>
    <t>Remaining risk after considering control effectiveness.</t>
  </si>
  <si>
    <t>MAX(1, ROUND(Inherent Score × (1 − Control Effectiveness),0))</t>
  </si>
  <si>
    <t>Residual Rating</t>
  </si>
  <si>
    <t>Risk band from residual score.</t>
  </si>
  <si>
    <t>Treatment</t>
  </si>
  <si>
    <t>Action selected for the residual risk.</t>
  </si>
  <si>
    <t>Mitigate | Transfer | Avoid | Accept</t>
  </si>
  <si>
    <t>Acceptance</t>
  </si>
  <si>
    <t>Formal approval required when residual risk exceeds organizational tolerance.</t>
  </si>
  <si>
    <t>Document approval, rationale, owner and review date.</t>
  </si>
  <si>
    <t>Factor ID</t>
  </si>
  <si>
    <t>Risk Factor</t>
  </si>
  <si>
    <t>Question / Assessment Point</t>
  </si>
  <si>
    <t>Response</t>
  </si>
  <si>
    <t>Score</t>
  </si>
  <si>
    <t>Assessor Comments</t>
  </si>
  <si>
    <t>RF-01-001</t>
  </si>
  <si>
    <t>Business Criticality</t>
  </si>
  <si>
    <t>Would loss of this vendor materially disrupt a critical business process?</t>
  </si>
  <si>
    <t>Pending</t>
  </si>
  <si>
    <t>CloudSphere Technologies-SEC-001</t>
  </si>
  <si>
    <t>Simulated factor assessment.</t>
  </si>
  <si>
    <t>RF-02-001</t>
  </si>
  <si>
    <t>Does the vendor process confidential, personal or sensitive information?</t>
  </si>
  <si>
    <t>RF-03-001</t>
  </si>
  <si>
    <t>System Access</t>
  </si>
  <si>
    <t>Does the vendor have access to production systems, networks or APIs?</t>
  </si>
  <si>
    <t>RF-04-001</t>
  </si>
  <si>
    <t>Does the vendor receive privileged or administrative access?</t>
  </si>
  <si>
    <t>RF-05-001</t>
  </si>
  <si>
    <t>Regulatory Exposure</t>
  </si>
  <si>
    <t>Could vendor failure create material regulatory/compliance impact?</t>
  </si>
  <si>
    <t>RF-06-001</t>
  </si>
  <si>
    <t>Is there limited substitutability or high dependency on this vendor?</t>
  </si>
  <si>
    <t>RF-07-001</t>
  </si>
  <si>
    <t>Does the vendor process data or operate across multiple jurisdictions?</t>
  </si>
  <si>
    <t>RF-08-001</t>
  </si>
  <si>
    <t>Does the vendor rely on material fourth parties/subprocessors?</t>
  </si>
  <si>
    <t>RF-09-001</t>
  </si>
  <si>
    <t>Security Assurance</t>
  </si>
  <si>
    <t>Is current independent security assurance available and satisfactory?</t>
  </si>
  <si>
    <t>RF-10-001</t>
  </si>
  <si>
    <t>Incident History</t>
  </si>
  <si>
    <t>Are there material recent security/privacy incidents or repeated breaches?</t>
  </si>
  <si>
    <t>RF-01-002</t>
  </si>
  <si>
    <t>SecurePay Solutions-SEC-001</t>
  </si>
  <si>
    <t>RF-02-002</t>
  </si>
  <si>
    <t>RF-03-002</t>
  </si>
  <si>
    <t>RF-04-002</t>
  </si>
  <si>
    <t>RF-05-002</t>
  </si>
  <si>
    <t>RF-06-002</t>
  </si>
  <si>
    <t>RF-07-002</t>
  </si>
  <si>
    <t>RF-08-002</t>
  </si>
  <si>
    <t>RF-09-002</t>
  </si>
  <si>
    <t>RF-10-002</t>
  </si>
  <si>
    <t>RF-01-003</t>
  </si>
  <si>
    <t>DataBridge Analytics-SEC-001</t>
  </si>
  <si>
    <t>RF-02-003</t>
  </si>
  <si>
    <t>RF-03-003</t>
  </si>
  <si>
    <t>RF-04-003</t>
  </si>
  <si>
    <t>RF-05-003</t>
  </si>
  <si>
    <t>RF-06-003</t>
  </si>
  <si>
    <t>RF-07-003</t>
  </si>
  <si>
    <t>RF-08-003</t>
  </si>
  <si>
    <t>RF-09-003</t>
  </si>
  <si>
    <t>RF-10-003</t>
  </si>
  <si>
    <t>RF-01-004</t>
  </si>
  <si>
    <t>HelpDeskPro Services-SEC-001</t>
  </si>
  <si>
    <t>RF-02-004</t>
  </si>
  <si>
    <t>RF-03-004</t>
  </si>
  <si>
    <t>RF-04-004</t>
  </si>
  <si>
    <t>RF-05-004</t>
  </si>
  <si>
    <t>RF-06-004</t>
  </si>
  <si>
    <t>RF-07-004</t>
  </si>
  <si>
    <t>RF-08-004</t>
  </si>
  <si>
    <t>RF-09-004</t>
  </si>
  <si>
    <t>RF-10-004</t>
  </si>
  <si>
    <t>RF-01-005</t>
  </si>
  <si>
    <t>PeopleCore HR-SEC-001</t>
  </si>
  <si>
    <t>RF-02-005</t>
  </si>
  <si>
    <t>RF-03-005</t>
  </si>
  <si>
    <t>RF-04-005</t>
  </si>
  <si>
    <t>RF-05-005</t>
  </si>
  <si>
    <t>RF-06-005</t>
  </si>
  <si>
    <t>RF-07-005</t>
  </si>
  <si>
    <t>RF-08-005</t>
  </si>
  <si>
    <t>RF-09-005</t>
  </si>
  <si>
    <t>RF-10-005</t>
  </si>
  <si>
    <t>RF-01-006</t>
  </si>
  <si>
    <t>NetSecure Managed Services-SEC-001</t>
  </si>
  <si>
    <t>RF-02-006</t>
  </si>
  <si>
    <t>RF-03-006</t>
  </si>
  <si>
    <t>RF-04-006</t>
  </si>
  <si>
    <t>RF-05-006</t>
  </si>
  <si>
    <t>RF-06-006</t>
  </si>
  <si>
    <t>RF-07-006</t>
  </si>
  <si>
    <t>RF-08-006</t>
  </si>
  <si>
    <t>RF-09-006</t>
  </si>
  <si>
    <t>RF-10-006</t>
  </si>
  <si>
    <t>RF-01-007</t>
  </si>
  <si>
    <t>OfficeFlow Solutions-SEC-001</t>
  </si>
  <si>
    <t>RF-02-007</t>
  </si>
  <si>
    <t>RF-03-007</t>
  </si>
  <si>
    <t>RF-04-007</t>
  </si>
  <si>
    <t>RF-05-007</t>
  </si>
  <si>
    <t>RF-06-007</t>
  </si>
  <si>
    <t>RF-07-007</t>
  </si>
  <si>
    <t>RF-08-007</t>
  </si>
  <si>
    <t>RF-09-007</t>
  </si>
  <si>
    <t>RF-10-007</t>
  </si>
  <si>
    <t>RF-01-008</t>
  </si>
  <si>
    <t>LogiTrack Systems-SEC-001</t>
  </si>
  <si>
    <t>RF-02-008</t>
  </si>
  <si>
    <t>RF-03-008</t>
  </si>
  <si>
    <t>RF-04-008</t>
  </si>
  <si>
    <t>RF-05-008</t>
  </si>
  <si>
    <t>RF-06-008</t>
  </si>
  <si>
    <t>RF-07-008</t>
  </si>
  <si>
    <t>RF-08-008</t>
  </si>
  <si>
    <t>RF-09-008</t>
  </si>
  <si>
    <t>RF-10-008</t>
  </si>
  <si>
    <t>RF-01-009</t>
  </si>
  <si>
    <t>MarketReach Digital-SEC-001</t>
  </si>
  <si>
    <t>RF-02-009</t>
  </si>
  <si>
    <t>RF-03-009</t>
  </si>
  <si>
    <t>RF-04-009</t>
  </si>
  <si>
    <t>RF-05-009</t>
  </si>
  <si>
    <t>RF-06-009</t>
  </si>
  <si>
    <t>RF-07-009</t>
  </si>
  <si>
    <t>RF-08-009</t>
  </si>
  <si>
    <t>RF-09-009</t>
  </si>
  <si>
    <t>RF-10-009</t>
  </si>
  <si>
    <t>RF-01-010</t>
  </si>
  <si>
    <t>DocuVault Records-SEC-001</t>
  </si>
  <si>
    <t>RF-02-010</t>
  </si>
  <si>
    <t>RF-03-010</t>
  </si>
  <si>
    <t>RF-04-010</t>
  </si>
  <si>
    <t>RF-05-010</t>
  </si>
  <si>
    <t>RF-06-010</t>
  </si>
  <si>
    <t>RF-07-010</t>
  </si>
  <si>
    <t>RF-08-010</t>
  </si>
  <si>
    <t>RF-09-010</t>
  </si>
  <si>
    <t>RF-10-010</t>
  </si>
  <si>
    <t>RF-01-011</t>
  </si>
  <si>
    <t>Portfolio Vendor 11-SEC-001</t>
  </si>
  <si>
    <t>RF-02-011</t>
  </si>
  <si>
    <t>RF-03-011</t>
  </si>
  <si>
    <t>RF-04-011</t>
  </si>
  <si>
    <t>RF-05-011</t>
  </si>
  <si>
    <t>RF-06-011</t>
  </si>
  <si>
    <t>RF-07-011</t>
  </si>
  <si>
    <t>RF-08-011</t>
  </si>
  <si>
    <t>RF-09-011</t>
  </si>
  <si>
    <t>RF-10-011</t>
  </si>
  <si>
    <t>RF-01-012</t>
  </si>
  <si>
    <t>Portfolio Vendor 12-SEC-001</t>
  </si>
  <si>
    <t>RF-02-012</t>
  </si>
  <si>
    <t>RF-03-012</t>
  </si>
  <si>
    <t>RF-04-012</t>
  </si>
  <si>
    <t>RF-05-012</t>
  </si>
  <si>
    <t>RF-06-012</t>
  </si>
  <si>
    <t>RF-07-012</t>
  </si>
  <si>
    <t>RF-08-012</t>
  </si>
  <si>
    <t>RF-09-012</t>
  </si>
  <si>
    <t>RF-10-012</t>
  </si>
  <si>
    <t>RF-01-013</t>
  </si>
  <si>
    <t>Portfolio Vendor 13-SEC-001</t>
  </si>
  <si>
    <t>RF-02-013</t>
  </si>
  <si>
    <t>RF-03-013</t>
  </si>
  <si>
    <t>RF-04-013</t>
  </si>
  <si>
    <t>RF-05-013</t>
  </si>
  <si>
    <t>RF-06-013</t>
  </si>
  <si>
    <t>RF-07-013</t>
  </si>
  <si>
    <t>RF-08-013</t>
  </si>
  <si>
    <t>RF-09-013</t>
  </si>
  <si>
    <t>RF-10-013</t>
  </si>
  <si>
    <t>RF-01-014</t>
  </si>
  <si>
    <t>Portfolio Vendor 14-SEC-001</t>
  </si>
  <si>
    <t>RF-02-014</t>
  </si>
  <si>
    <t>RF-03-014</t>
  </si>
  <si>
    <t>RF-04-014</t>
  </si>
  <si>
    <t>RF-05-014</t>
  </si>
  <si>
    <t>RF-06-014</t>
  </si>
  <si>
    <t>RF-07-014</t>
  </si>
  <si>
    <t>RF-08-014</t>
  </si>
  <si>
    <t>RF-09-014</t>
  </si>
  <si>
    <t>RF-10-014</t>
  </si>
  <si>
    <t>RF-01-015</t>
  </si>
  <si>
    <t>Portfolio Vendor 15-SEC-001</t>
  </si>
  <si>
    <t>RF-02-015</t>
  </si>
  <si>
    <t>RF-03-015</t>
  </si>
  <si>
    <t>RF-04-015</t>
  </si>
  <si>
    <t>RF-05-015</t>
  </si>
  <si>
    <t>RF-06-015</t>
  </si>
  <si>
    <t>RF-07-015</t>
  </si>
  <si>
    <t>RF-08-015</t>
  </si>
  <si>
    <t>RF-09-015</t>
  </si>
  <si>
    <t>RF-10-015</t>
  </si>
  <si>
    <t>RF-01-016</t>
  </si>
  <si>
    <t>Portfolio Vendor 16-SEC-001</t>
  </si>
  <si>
    <t>RF-02-016</t>
  </si>
  <si>
    <t>RF-03-016</t>
  </si>
  <si>
    <t>RF-04-016</t>
  </si>
  <si>
    <t>RF-05-016</t>
  </si>
  <si>
    <t>RF-06-016</t>
  </si>
  <si>
    <t>RF-07-016</t>
  </si>
  <si>
    <t>RF-08-016</t>
  </si>
  <si>
    <t>RF-09-016</t>
  </si>
  <si>
    <t>RF-10-016</t>
  </si>
  <si>
    <t>RF-01-017</t>
  </si>
  <si>
    <t>Portfolio Vendor 17-SEC-001</t>
  </si>
  <si>
    <t>RF-02-017</t>
  </si>
  <si>
    <t>RF-03-017</t>
  </si>
  <si>
    <t>RF-04-017</t>
  </si>
  <si>
    <t>RF-05-017</t>
  </si>
  <si>
    <t>RF-06-017</t>
  </si>
  <si>
    <t>RF-07-017</t>
  </si>
  <si>
    <t>RF-08-017</t>
  </si>
  <si>
    <t>RF-09-017</t>
  </si>
  <si>
    <t>RF-10-017</t>
  </si>
  <si>
    <t>RF-01-018</t>
  </si>
  <si>
    <t>Portfolio Vendor 18-SEC-001</t>
  </si>
  <si>
    <t>RF-02-018</t>
  </si>
  <si>
    <t>RF-03-018</t>
  </si>
  <si>
    <t>RF-04-018</t>
  </si>
  <si>
    <t>RF-05-018</t>
  </si>
  <si>
    <t>RF-06-018</t>
  </si>
  <si>
    <t>RF-07-018</t>
  </si>
  <si>
    <t>RF-08-018</t>
  </si>
  <si>
    <t>RF-09-018</t>
  </si>
  <si>
    <t>RF-10-018</t>
  </si>
  <si>
    <t>RF-01-019</t>
  </si>
  <si>
    <t>Portfolio Vendor 19-SEC-001</t>
  </si>
  <si>
    <t>RF-02-019</t>
  </si>
  <si>
    <t>RF-03-019</t>
  </si>
  <si>
    <t>RF-04-019</t>
  </si>
  <si>
    <t>RF-05-019</t>
  </si>
  <si>
    <t>RF-06-019</t>
  </si>
  <si>
    <t>RF-07-019</t>
  </si>
  <si>
    <t>RF-08-019</t>
  </si>
  <si>
    <t>RF-09-019</t>
  </si>
  <si>
    <t>RF-10-019</t>
  </si>
  <si>
    <t>RF-01-020</t>
  </si>
  <si>
    <t>Portfolio Vendor 20-SEC-001</t>
  </si>
  <si>
    <t>RF-02-020</t>
  </si>
  <si>
    <t>RF-03-020</t>
  </si>
  <si>
    <t>RF-04-020</t>
  </si>
  <si>
    <t>RF-05-020</t>
  </si>
  <si>
    <t>RF-06-020</t>
  </si>
  <si>
    <t>RF-07-020</t>
  </si>
  <si>
    <t>RF-08-020</t>
  </si>
  <si>
    <t>RF-09-020</t>
  </si>
  <si>
    <t>RF-10-020</t>
  </si>
  <si>
    <t>RF-01-021</t>
  </si>
  <si>
    <t>Portfolio Vendor 21-SEC-001</t>
  </si>
  <si>
    <t>RF-02-021</t>
  </si>
  <si>
    <t>RF-03-021</t>
  </si>
  <si>
    <t>RF-04-021</t>
  </si>
  <si>
    <t>RF-05-021</t>
  </si>
  <si>
    <t>RF-06-021</t>
  </si>
  <si>
    <t>RF-07-021</t>
  </si>
  <si>
    <t>RF-08-021</t>
  </si>
  <si>
    <t>RF-09-021</t>
  </si>
  <si>
    <t>RF-10-021</t>
  </si>
  <si>
    <t>RF-01-022</t>
  </si>
  <si>
    <t>Portfolio Vendor 22-SEC-001</t>
  </si>
  <si>
    <t>RF-02-022</t>
  </si>
  <si>
    <t>RF-03-022</t>
  </si>
  <si>
    <t>RF-04-022</t>
  </si>
  <si>
    <t>RF-05-022</t>
  </si>
  <si>
    <t>RF-06-022</t>
  </si>
  <si>
    <t>RF-07-022</t>
  </si>
  <si>
    <t>RF-08-022</t>
  </si>
  <si>
    <t>RF-09-022</t>
  </si>
  <si>
    <t>RF-10-022</t>
  </si>
  <si>
    <t>RF-01-023</t>
  </si>
  <si>
    <t>Portfolio Vendor 23-SEC-001</t>
  </si>
  <si>
    <t>RF-02-023</t>
  </si>
  <si>
    <t>RF-03-023</t>
  </si>
  <si>
    <t>RF-04-023</t>
  </si>
  <si>
    <t>RF-05-023</t>
  </si>
  <si>
    <t>RF-06-023</t>
  </si>
  <si>
    <t>RF-07-023</t>
  </si>
  <si>
    <t>RF-08-023</t>
  </si>
  <si>
    <t>RF-09-023</t>
  </si>
  <si>
    <t>RF-10-023</t>
  </si>
  <si>
    <t>RF-01-024</t>
  </si>
  <si>
    <t>Portfolio Vendor 24-SEC-001</t>
  </si>
  <si>
    <t>RF-02-024</t>
  </si>
  <si>
    <t>RF-03-024</t>
  </si>
  <si>
    <t>RF-04-024</t>
  </si>
  <si>
    <t>RF-05-024</t>
  </si>
  <si>
    <t>RF-06-024</t>
  </si>
  <si>
    <t>RF-07-024</t>
  </si>
  <si>
    <t>RF-08-024</t>
  </si>
  <si>
    <t>RF-09-024</t>
  </si>
  <si>
    <t>RF-10-024</t>
  </si>
  <si>
    <t>RF-01-025</t>
  </si>
  <si>
    <t>Portfolio Vendor 25-SEC-001</t>
  </si>
  <si>
    <t>RF-02-025</t>
  </si>
  <si>
    <t>RF-03-025</t>
  </si>
  <si>
    <t>RF-04-025</t>
  </si>
  <si>
    <t>RF-05-025</t>
  </si>
  <si>
    <t>RF-06-025</t>
  </si>
  <si>
    <t>RF-07-025</t>
  </si>
  <si>
    <t>RF-08-025</t>
  </si>
  <si>
    <t>RF-09-025</t>
  </si>
  <si>
    <t>RF-10-025</t>
  </si>
  <si>
    <t>RF-01-026</t>
  </si>
  <si>
    <t>Portfolio Vendor 26-SEC-001</t>
  </si>
  <si>
    <t>RF-02-026</t>
  </si>
  <si>
    <t>RF-03-026</t>
  </si>
  <si>
    <t>RF-04-026</t>
  </si>
  <si>
    <t>RF-05-026</t>
  </si>
  <si>
    <t>RF-06-026</t>
  </si>
  <si>
    <t>RF-07-026</t>
  </si>
  <si>
    <t>RF-08-026</t>
  </si>
  <si>
    <t>RF-09-026</t>
  </si>
  <si>
    <t>RF-10-026</t>
  </si>
  <si>
    <t>RF-01-027</t>
  </si>
  <si>
    <t>Portfolio Vendor 27-SEC-001</t>
  </si>
  <si>
    <t>RF-02-027</t>
  </si>
  <si>
    <t>RF-03-027</t>
  </si>
  <si>
    <t>RF-04-027</t>
  </si>
  <si>
    <t>RF-05-027</t>
  </si>
  <si>
    <t>RF-06-027</t>
  </si>
  <si>
    <t>RF-07-027</t>
  </si>
  <si>
    <t>RF-08-027</t>
  </si>
  <si>
    <t>RF-09-027</t>
  </si>
  <si>
    <t>RF-10-027</t>
  </si>
  <si>
    <t>RF-01-028</t>
  </si>
  <si>
    <t>Portfolio Vendor 28-SEC-001</t>
  </si>
  <si>
    <t>RF-02-028</t>
  </si>
  <si>
    <t>RF-03-028</t>
  </si>
  <si>
    <t>RF-04-028</t>
  </si>
  <si>
    <t>RF-05-028</t>
  </si>
  <si>
    <t>RF-06-028</t>
  </si>
  <si>
    <t>RF-07-028</t>
  </si>
  <si>
    <t>RF-08-028</t>
  </si>
  <si>
    <t>RF-09-028</t>
  </si>
  <si>
    <t>RF-10-028</t>
  </si>
  <si>
    <t>RF-01-029</t>
  </si>
  <si>
    <t>Portfolio Vendor 29-SEC-001</t>
  </si>
  <si>
    <t>RF-02-029</t>
  </si>
  <si>
    <t>RF-03-029</t>
  </si>
  <si>
    <t>RF-04-029</t>
  </si>
  <si>
    <t>RF-05-029</t>
  </si>
  <si>
    <t>RF-06-029</t>
  </si>
  <si>
    <t>RF-07-029</t>
  </si>
  <si>
    <t>RF-08-029</t>
  </si>
  <si>
    <t>RF-09-029</t>
  </si>
  <si>
    <t>RF-10-029</t>
  </si>
  <si>
    <t>RF-01-030</t>
  </si>
  <si>
    <t>Portfolio Vendor 30-SEC-001</t>
  </si>
  <si>
    <t>RF-02-030</t>
  </si>
  <si>
    <t>RF-03-030</t>
  </si>
  <si>
    <t>RF-04-030</t>
  </si>
  <si>
    <t>RF-05-030</t>
  </si>
  <si>
    <t>RF-06-030</t>
  </si>
  <si>
    <t>RF-07-030</t>
  </si>
  <si>
    <t>RF-08-030</t>
  </si>
  <si>
    <t>RF-09-030</t>
  </si>
  <si>
    <t>RF-10-030</t>
  </si>
  <si>
    <t>Treatment ID</t>
  </si>
  <si>
    <t>Residual Risk</t>
  </si>
  <si>
    <t>Treatment Decision</t>
  </si>
  <si>
    <t>Risk Treatment Action</t>
  </si>
  <si>
    <t>Owner</t>
  </si>
  <si>
    <t>Target Date</t>
  </si>
  <si>
    <t>Evidence Required</t>
  </si>
  <si>
    <t>Validation</t>
  </si>
  <si>
    <t>Closure Date</t>
  </si>
  <si>
    <t>RT-001</t>
  </si>
  <si>
    <t>Implement/validate additional controls and monitor residual risk.</t>
  </si>
  <si>
    <t>2026-10-31</t>
  </si>
  <si>
    <t>Open</t>
  </si>
  <si>
    <t>Objective treatment evidence</t>
  </si>
  <si>
    <t>Simulated treatment record.</t>
  </si>
  <si>
    <t>RT-002</t>
  </si>
  <si>
    <t>RT-003</t>
  </si>
  <si>
    <t>RT-004</t>
  </si>
  <si>
    <t>RT-005</t>
  </si>
  <si>
    <t>RT-006</t>
  </si>
  <si>
    <t>RT-007</t>
  </si>
  <si>
    <t>RT-008</t>
  </si>
  <si>
    <t>RT-009</t>
  </si>
  <si>
    <t>RT-010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</si>
  <si>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</si>
  <si>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</si>
  <si>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</si>
  <si>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</si>
  <si>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</si>
  <si>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</si>
  <si>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</si>
  <si>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</si>
  <si>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</si>
  <si>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</si>
  <si>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</si>
  <si>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</si>
  <si>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</si>
  <si>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</si>
  <si>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</si>
  <si>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</si>
  <si>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</si>
  <si>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</si>
  <si>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</si>
  <si>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</si>
  <si>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Metric</t>
  </si>
  <si>
    <t>Management Interpretation</t>
  </si>
  <si>
    <t>Count</t>
  </si>
  <si>
    <t>Vendor Assessments</t>
  </si>
  <si>
    <t>Current simulated vendor risk assessment population</t>
  </si>
  <si>
    <t>Critical Vendors</t>
  </si>
  <si>
    <t>Requires enhanced assessment and monitoring</t>
  </si>
  <si>
    <t>High Residual Risk</t>
  </si>
  <si>
    <t>Requires treatment and management attention</t>
  </si>
  <si>
    <t>Critical Residual Risk</t>
  </si>
  <si>
    <t>Requires escalation / acceptance decision</t>
  </si>
  <si>
    <t>Formal acceptance decision required</t>
  </si>
  <si>
    <t>Open Treatments</t>
  </si>
  <si>
    <t>Active risk remediation workload</t>
  </si>
  <si>
    <t>Reassessment Required</t>
  </si>
  <si>
    <t>Requires reassessment</t>
  </si>
  <si>
    <t>Assessment Coverage</t>
  </si>
  <si>
    <t>Assessment completion rate</t>
  </si>
  <si>
    <t>Field used in the vendor risk assessment process to establish, score, treat, approve and monitor third-party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</si>
</sst>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7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Residual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27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1-4B77-9CBA-57021B51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AssessmentRegister" displayName="VendorRiskAssessmentRegister" ref="A1:AK31">
  <autoFilter ref="A1:AK31" xr:uid="{00000000-0009-0000-0100-000001000000}"/>
  <tableColumns count="37">
    <tableColumn id="1" xr3:uid="{00000000-0010-0000-0000-000001000000}" name="Assessment ID" dataDxfId="62"/>
    <tableColumn id="2" xr3:uid="{00000000-0010-0000-0000-000002000000}" name="Vendor ID" dataDxfId="61"/>
    <tableColumn id="3" xr3:uid="{00000000-0010-0000-0000-000003000000}" name="Vendor Name" dataDxfId="60"/>
    <tableColumn id="4" xr3:uid="{00000000-0010-0000-0000-000004000000}" name="Vendor Tier" dataDxfId="59"/>
    <tableColumn id="5" xr3:uid="{00000000-0010-0000-0000-000005000000}" name="Business Owner" dataDxfId="58"/>
    <tableColumn id="6" xr3:uid="{00000000-0010-0000-0000-000006000000}" name="Vendor Owner" dataDxfId="57"/>
    <tableColumn id="7" xr3:uid="{00000000-0010-0000-0000-000007000000}" name="Service / Product" dataDxfId="56"/>
    <tableColumn id="8" xr3:uid="{00000000-0010-0000-0000-000008000000}" name="Criticality" dataDxfId="55"/>
    <tableColumn id="9" xr3:uid="{00000000-0010-0000-0000-000009000000}" name="Data Sensitivity" dataDxfId="54"/>
    <tableColumn id="10" xr3:uid="{00000000-0010-0000-0000-00000A000000}" name="Data Types" dataDxfId="53"/>
    <tableColumn id="11" xr3:uid="{00000000-0010-0000-0000-00000B000000}" name="System / Network Access" dataDxfId="52"/>
    <tableColumn id="12" xr3:uid="{00000000-0010-0000-0000-00000C000000}" name="Privileged Access" dataDxfId="51"/>
    <tableColumn id="13" xr3:uid="{00000000-0010-0000-0000-00000D000000}" name="Regulatory / Compliance Impact" dataDxfId="50"/>
    <tableColumn id="14" xr3:uid="{00000000-0010-0000-0000-00000E000000}" name="Business Dependency" dataDxfId="49"/>
    <tableColumn id="15" xr3:uid="{00000000-0010-0000-0000-00000F000000}" name="Geographic Exposure" dataDxfId="48"/>
    <tableColumn id="16" xr3:uid="{00000000-0010-0000-0000-000010000000}" name="Subprocessor Dependency" dataDxfId="47"/>
    <tableColumn id="17" xr3:uid="{00000000-0010-0000-0000-000011000000}" name="Concentration Risk" dataDxfId="46"/>
    <tableColumn id="18" xr3:uid="{00000000-0010-0000-0000-000012000000}" name="Threat Level" dataDxfId="45"/>
    <tableColumn id="19" xr3:uid="{00000000-0010-0000-0000-000013000000}" name="Vulnerability Level" dataDxfId="44"/>
    <tableColumn id="20" xr3:uid="{00000000-0010-0000-0000-000014000000}" name="Impact Score" dataDxfId="43"/>
    <tableColumn id="21" xr3:uid="{00000000-0010-0000-0000-000015000000}" name="Likelihood Score" dataDxfId="42"/>
    <tableColumn id="22" xr3:uid="{00000000-0010-0000-0000-000016000000}" name="Inherent Risk Score" dataDxfId="41"/>
    <tableColumn id="23" xr3:uid="{00000000-0010-0000-0000-000017000000}" name="Inherent Risk Rating" dataDxfId="40"/>
    <tableColumn id="24" xr3:uid="{00000000-0010-0000-0000-000018000000}" name="Control Effectiveness" dataDxfId="39"/>
    <tableColumn id="25" xr3:uid="{00000000-0010-0000-0000-000019000000}" name="Residual Risk Score" dataDxfId="38"/>
    <tableColumn id="26" xr3:uid="{00000000-0010-0000-0000-00001A000000}" name="Residual Risk Rating" dataDxfId="37"/>
    <tableColumn id="27" xr3:uid="{00000000-0010-0000-0000-00001B000000}" name="Risk Treatment" dataDxfId="36"/>
    <tableColumn id="28" xr3:uid="{00000000-0010-0000-0000-00001C000000}" name="Target Residual Rating" dataDxfId="35"/>
    <tableColumn id="29" xr3:uid="{00000000-0010-0000-0000-00001D000000}" name="Risk Acceptance Required" dataDxfId="34"/>
    <tableColumn id="30" xr3:uid="{00000000-0010-0000-0000-00001E000000}" name="Assessment Status" dataDxfId="33"/>
    <tableColumn id="31" xr3:uid="{00000000-0010-0000-0000-00001F000000}" name="Assessment Date" dataDxfId="32"/>
    <tableColumn id="32" xr3:uid="{00000000-0010-0000-0000-000020000000}" name="Next Review Date" dataDxfId="31"/>
    <tableColumn id="33" xr3:uid="{00000000-0010-0000-0000-000021000000}" name="Assessor" dataDxfId="30"/>
    <tableColumn id="34" xr3:uid="{00000000-0010-0000-0000-000022000000}" name="Evidence Reference" dataDxfId="29"/>
    <tableColumn id="35" xr3:uid="{00000000-0010-0000-0000-000023000000}" name="Key Risk Factors" dataDxfId="28"/>
    <tableColumn id="36" xr3:uid="{00000000-0010-0000-0000-000024000000}" name="Risk Decision / Rationale" dataDxfId="27"/>
    <tableColumn id="37" xr3:uid="{00000000-0010-0000-0000-000025000000}" name="Comments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FactorAssessment" displayName="RiskFactorAssessment" ref="A1:H301">
  <autoFilter ref="A1:H301" xr:uid="{00000000-0009-0000-0100-000002000000}"/>
  <tableColumns count="8">
    <tableColumn id="1" xr3:uid="{00000000-0010-0000-0100-000001000000}" name="Factor ID" dataDxfId="25"/>
    <tableColumn id="2" xr3:uid="{00000000-0010-0000-0100-000002000000}" name="Assessment ID" dataDxfId="24"/>
    <tableColumn id="3" xr3:uid="{00000000-0010-0000-0100-000003000000}" name="Risk Factor" dataDxfId="23"/>
    <tableColumn id="4" xr3:uid="{00000000-0010-0000-0100-000004000000}" name="Question / Assessment Point" dataDxfId="22"/>
    <tableColumn id="5" xr3:uid="{00000000-0010-0000-0100-000005000000}" name="Response" dataDxfId="21"/>
    <tableColumn id="6" xr3:uid="{00000000-0010-0000-0100-000006000000}" name="Score" dataDxfId="20"/>
    <tableColumn id="7" xr3:uid="{00000000-0010-0000-0100-000007000000}" name="Evidence Reference" dataDxfId="19"/>
    <tableColumn id="8" xr3:uid="{00000000-0010-0000-0100-000008000000}" name="Assessor Comment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TreatmentTracker" displayName="RiskTreatmentTracker" ref="A1:O31">
  <autoFilter ref="A1:O31" xr:uid="{00000000-0009-0000-0100-000003000000}"/>
  <tableColumns count="15">
    <tableColumn id="1" xr3:uid="{00000000-0010-0000-0200-000001000000}" name="Treatment ID" dataDxfId="17"/>
    <tableColumn id="2" xr3:uid="{00000000-0010-0000-0200-000002000000}" name="Assessment ID" dataDxfId="16"/>
    <tableColumn id="3" xr3:uid="{00000000-0010-0000-0200-000003000000}" name="Vendor ID" dataDxfId="15"/>
    <tableColumn id="4" xr3:uid="{00000000-0010-0000-0200-000004000000}" name="Vendor Name" dataDxfId="14"/>
    <tableColumn id="5" xr3:uid="{00000000-0010-0000-0200-000005000000}" name="Residual Risk" dataDxfId="13"/>
    <tableColumn id="6" xr3:uid="{00000000-0010-0000-0200-000006000000}" name="Treatment Decision" dataDxfId="12"/>
    <tableColumn id="7" xr3:uid="{00000000-0010-0000-0200-000007000000}" name="Risk Treatment Action" dataDxfId="11"/>
    <tableColumn id="8" xr3:uid="{00000000-0010-0000-0200-000008000000}" name="Owner" dataDxfId="10"/>
    <tableColumn id="9" xr3:uid="{00000000-0010-0000-0200-000009000000}" name="Target Date" dataDxfId="9"/>
    <tableColumn id="10" xr3:uid="{00000000-0010-0000-0200-00000A000000}" name="Status" dataDxfId="8"/>
    <tableColumn id="11" xr3:uid="{00000000-0010-0000-0200-00000B000000}" name="Evidence Required" dataDxfId="7"/>
    <tableColumn id="12" xr3:uid="{00000000-0010-0000-0200-00000C000000}" name="Evidence Reference" dataDxfId="6"/>
    <tableColumn id="13" xr3:uid="{00000000-0010-0000-0200-00000D000000}" name="Validation" dataDxfId="5"/>
    <tableColumn id="14" xr3:uid="{00000000-0010-0000-0200-00000E000000}" name="Closure Date" dataDxfId="4"/>
    <tableColumn id="15" xr3:uid="{00000000-0010-0000-0200-00000F000000}" name="Comments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AssessmentSummary" displayName="RiskAssessmentSummary" ref="A1:C9">
  <autoFilter ref="A1:C9" xr:uid="{00000000-0009-0000-0100-000004000000}"/>
  <tableColumns count="3">
    <tableColumn id="1" xr3:uid="{00000000-0010-0000-0300-000001000000}" name="Metric" dataDxfId="2"/>
    <tableColumn id="2" xr3:uid="{00000000-0010-0000-0300-000002000000}" name="Value" dataDxfId="1"/>
    <tableColumn id="3" xr3:uid="{00000000-0010-0000-03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2"/>
  <sheetViews>
    <sheetView workbookViewId="0">
      <selection activeCell="B9" sqref="A1:B12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2" t="s">
        <v>0</v>
      </c>
      <c r="B1" s="3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x14ac:dyDescent="0.3">
      <c r="A6" s="4" t="s">
        <v>10</v>
      </c>
      <c r="B6" s="4" t="s">
        <v>11</v>
      </c>
    </row>
    <row r="7" spans="1:2" x14ac:dyDescent="0.3">
      <c r="A7" s="4" t="s">
        <v>12</v>
      </c>
      <c r="B7" s="4" t="s">
        <v>13</v>
      </c>
    </row>
    <row r="8" spans="1:2" ht="28.8" x14ac:dyDescent="0.3">
      <c r="A8" s="4" t="s">
        <v>14</v>
      </c>
      <c r="B8" s="4" t="s">
        <v>15</v>
      </c>
    </row>
    <row r="9" spans="1:2" ht="28.8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  <row r="11" spans="1:2" x14ac:dyDescent="0.3">
      <c r="A11" s="4" t="s">
        <v>20</v>
      </c>
      <c r="B11" s="4" t="s">
        <v>21</v>
      </c>
    </row>
    <row r="12" spans="1:2" x14ac:dyDescent="0.3">
      <c r="A12" s="4" t="s">
        <v>22</v>
      </c>
      <c r="B12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8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6.05" customHeight="1" x14ac:dyDescent="0.3">
      <c r="A1" s="5" t="s">
        <v>24</v>
      </c>
      <c r="B1" s="5" t="s">
        <v>25</v>
      </c>
    </row>
    <row r="2" spans="1:2" x14ac:dyDescent="0.3">
      <c r="A2" s="4" t="s">
        <v>26</v>
      </c>
      <c r="B2" s="4" t="s">
        <v>27</v>
      </c>
    </row>
    <row r="3" spans="1:2" x14ac:dyDescent="0.3">
      <c r="A3" s="4" t="s">
        <v>2</v>
      </c>
      <c r="B3" s="4" t="s">
        <v>3</v>
      </c>
    </row>
    <row r="4" spans="1:2" x14ac:dyDescent="0.3">
      <c r="A4" s="4" t="s">
        <v>4</v>
      </c>
      <c r="B4" s="4" t="s">
        <v>5</v>
      </c>
    </row>
    <row r="5" spans="1:2" x14ac:dyDescent="0.3">
      <c r="A5" s="4" t="s">
        <v>28</v>
      </c>
      <c r="B5" s="4" t="s">
        <v>1</v>
      </c>
    </row>
    <row r="6" spans="1:2" x14ac:dyDescent="0.3">
      <c r="A6" s="4" t="s">
        <v>6</v>
      </c>
      <c r="B6" s="4" t="s">
        <v>7</v>
      </c>
    </row>
    <row r="7" spans="1:2" x14ac:dyDescent="0.3">
      <c r="A7" s="4" t="s">
        <v>8</v>
      </c>
      <c r="B7" s="4" t="s">
        <v>9</v>
      </c>
    </row>
    <row r="8" spans="1:2" x14ac:dyDescent="0.3">
      <c r="A8" s="4" t="s">
        <v>10</v>
      </c>
      <c r="B8" s="4" t="s">
        <v>11</v>
      </c>
    </row>
    <row r="9" spans="1:2" x14ac:dyDescent="0.3">
      <c r="A9" s="4" t="s">
        <v>29</v>
      </c>
      <c r="B9" s="4" t="s">
        <v>30</v>
      </c>
    </row>
    <row r="10" spans="1:2" x14ac:dyDescent="0.3">
      <c r="A10" s="4" t="s">
        <v>31</v>
      </c>
      <c r="B10" s="4" t="s">
        <v>32</v>
      </c>
    </row>
    <row r="11" spans="1:2" x14ac:dyDescent="0.3">
      <c r="A11" s="4" t="s">
        <v>33</v>
      </c>
      <c r="B11" s="4" t="s">
        <v>34</v>
      </c>
    </row>
    <row r="12" spans="1:2" x14ac:dyDescent="0.3">
      <c r="A12" s="4" t="s">
        <v>12</v>
      </c>
      <c r="B12" s="4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K31"/>
  <sheetViews>
    <sheetView showGridLines="0" workbookViewId="0">
      <pane ySplit="1" topLeftCell="A2" activePane="bottomLeft" state="frozen"/>
      <selection pane="bottomLeft" activeCell="C3" sqref="A2:AK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14" customWidth="1"/>
    <col min="5" max="6" width="22" customWidth="1"/>
    <col min="7" max="7" width="30" customWidth="1"/>
    <col min="8" max="8" width="15" customWidth="1"/>
    <col min="9" max="9" width="18" customWidth="1"/>
    <col min="10" max="10" width="30" customWidth="1"/>
    <col min="11" max="11" width="25" customWidth="1"/>
    <col min="12" max="12" width="18" customWidth="1"/>
    <col min="13" max="13" width="28" customWidth="1"/>
    <col min="14" max="14" width="22" customWidth="1"/>
    <col min="15" max="15" width="20" customWidth="1"/>
    <col min="16" max="16" width="22" customWidth="1"/>
    <col min="17" max="17" width="20" customWidth="1"/>
    <col min="18" max="18" width="16" customWidth="1"/>
    <col min="19" max="19" width="20" customWidth="1"/>
    <col min="20" max="20" width="14" customWidth="1"/>
    <col min="21" max="21" width="16" customWidth="1"/>
    <col min="22" max="22" width="18" customWidth="1"/>
    <col min="23" max="24" width="20" customWidth="1"/>
    <col min="25" max="25" width="18" customWidth="1"/>
    <col min="26" max="26" width="20" customWidth="1"/>
    <col min="27" max="27" width="18" customWidth="1"/>
    <col min="28" max="28" width="20" customWidth="1"/>
    <col min="29" max="29" width="25" customWidth="1"/>
    <col min="30" max="30" width="18" customWidth="1"/>
    <col min="31" max="32" width="16" customWidth="1"/>
    <col min="33" max="33" width="20" customWidth="1"/>
    <col min="34" max="34" width="38" customWidth="1"/>
    <col min="35" max="35" width="55" customWidth="1"/>
    <col min="36" max="36" width="65" customWidth="1"/>
    <col min="37" max="37" width="45" customWidth="1"/>
  </cols>
  <sheetData>
    <row r="1" spans="1:37" ht="46.0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</row>
    <row r="2" spans="1:37" ht="82.05" customHeight="1" x14ac:dyDescent="0.3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78</v>
      </c>
      <c r="H2" s="6" t="s">
        <v>79</v>
      </c>
      <c r="I2" s="6" t="s">
        <v>80</v>
      </c>
      <c r="J2" s="6" t="s">
        <v>81</v>
      </c>
      <c r="K2" s="6" t="s">
        <v>82</v>
      </c>
      <c r="L2" s="6" t="s">
        <v>83</v>
      </c>
      <c r="M2" s="6" t="s">
        <v>84</v>
      </c>
      <c r="N2" s="6" t="s">
        <v>80</v>
      </c>
      <c r="O2" s="6" t="s">
        <v>85</v>
      </c>
      <c r="P2" s="6" t="s">
        <v>83</v>
      </c>
      <c r="Q2" s="6" t="s">
        <v>86</v>
      </c>
      <c r="R2" s="6" t="s">
        <v>87</v>
      </c>
      <c r="S2" s="6" t="s">
        <v>87</v>
      </c>
      <c r="T2" s="6">
        <v>5</v>
      </c>
      <c r="U2" s="6">
        <v>2</v>
      </c>
      <c r="V2" s="6">
        <v>10</v>
      </c>
      <c r="W2" s="6" t="str">
        <f t="shared" ref="W2:W31" si="0">IF(V2&lt;=4,"Low",IF(V2&lt;=9,"Medium",IF(V2&lt;=16,"High","Critical")))</f>
        <v>High</v>
      </c>
      <c r="X2" s="6">
        <v>80</v>
      </c>
      <c r="Y2" s="6">
        <v>2</v>
      </c>
      <c r="Z2" s="6" t="str">
        <f t="shared" ref="Z2:Z31" si="1">IF(Y2&lt;=4,"Low",IF(Y2&lt;=9,"Medium",IF(Y2&lt;=16,"High","Critical")))</f>
        <v>Low</v>
      </c>
      <c r="AA2" s="6" t="s">
        <v>88</v>
      </c>
      <c r="AB2" s="6" t="s">
        <v>87</v>
      </c>
      <c r="AC2" s="6" t="s">
        <v>83</v>
      </c>
      <c r="AD2" s="6" t="s">
        <v>89</v>
      </c>
      <c r="AE2" s="6" t="s">
        <v>90</v>
      </c>
      <c r="AF2" s="6" t="s">
        <v>91</v>
      </c>
      <c r="AG2" s="6" t="s">
        <v>92</v>
      </c>
      <c r="AH2" s="6" t="s">
        <v>93</v>
      </c>
      <c r="AI2" s="6" t="s">
        <v>94</v>
      </c>
      <c r="AJ2" s="6" t="s">
        <v>95</v>
      </c>
      <c r="AK2" s="6" t="s">
        <v>96</v>
      </c>
    </row>
    <row r="3" spans="1:37" ht="82.05" customHeight="1" x14ac:dyDescent="0.3">
      <c r="A3" s="6" t="s">
        <v>97</v>
      </c>
      <c r="B3" s="6" t="s">
        <v>98</v>
      </c>
      <c r="C3" s="6" t="s">
        <v>99</v>
      </c>
      <c r="D3" s="6" t="s">
        <v>75</v>
      </c>
      <c r="E3" s="6" t="s">
        <v>100</v>
      </c>
      <c r="F3" s="6" t="s">
        <v>77</v>
      </c>
      <c r="G3" s="6" t="s">
        <v>101</v>
      </c>
      <c r="H3" s="6" t="s">
        <v>79</v>
      </c>
      <c r="I3" s="6" t="s">
        <v>80</v>
      </c>
      <c r="J3" s="6" t="s">
        <v>81</v>
      </c>
      <c r="K3" s="6" t="s">
        <v>82</v>
      </c>
      <c r="L3" s="6" t="s">
        <v>83</v>
      </c>
      <c r="M3" s="6" t="s">
        <v>84</v>
      </c>
      <c r="N3" s="6" t="s">
        <v>80</v>
      </c>
      <c r="O3" s="6" t="s">
        <v>85</v>
      </c>
      <c r="P3" s="6" t="s">
        <v>83</v>
      </c>
      <c r="Q3" s="6" t="s">
        <v>86</v>
      </c>
      <c r="R3" s="6" t="s">
        <v>87</v>
      </c>
      <c r="S3" s="6" t="s">
        <v>87</v>
      </c>
      <c r="T3" s="6">
        <v>5</v>
      </c>
      <c r="U3" s="6">
        <v>3</v>
      </c>
      <c r="V3" s="6">
        <v>15</v>
      </c>
      <c r="W3" s="6" t="str">
        <f t="shared" si="0"/>
        <v>High</v>
      </c>
      <c r="X3" s="6">
        <v>80</v>
      </c>
      <c r="Y3" s="6">
        <v>3</v>
      </c>
      <c r="Z3" s="6" t="str">
        <f t="shared" si="1"/>
        <v>Low</v>
      </c>
      <c r="AA3" s="6" t="s">
        <v>88</v>
      </c>
      <c r="AB3" s="6" t="s">
        <v>87</v>
      </c>
      <c r="AC3" s="6" t="s">
        <v>83</v>
      </c>
      <c r="AD3" s="6" t="s">
        <v>89</v>
      </c>
      <c r="AE3" s="6" t="s">
        <v>90</v>
      </c>
      <c r="AF3" s="6" t="s">
        <v>91</v>
      </c>
      <c r="AG3" s="6" t="s">
        <v>92</v>
      </c>
      <c r="AH3" s="6" t="s">
        <v>102</v>
      </c>
      <c r="AI3" s="6" t="s">
        <v>94</v>
      </c>
      <c r="AJ3" s="6" t="s">
        <v>95</v>
      </c>
      <c r="AK3" s="6" t="s">
        <v>96</v>
      </c>
    </row>
    <row r="4" spans="1:37" ht="82.05" customHeight="1" x14ac:dyDescent="0.3">
      <c r="A4" s="6" t="s">
        <v>103</v>
      </c>
      <c r="B4" s="6" t="s">
        <v>104</v>
      </c>
      <c r="C4" s="6" t="s">
        <v>105</v>
      </c>
      <c r="D4" s="6" t="s">
        <v>106</v>
      </c>
      <c r="E4" s="6" t="s">
        <v>39</v>
      </c>
      <c r="F4" s="6" t="s">
        <v>77</v>
      </c>
      <c r="G4" s="6" t="s">
        <v>107</v>
      </c>
      <c r="H4" s="6" t="s">
        <v>80</v>
      </c>
      <c r="I4" s="6" t="s">
        <v>80</v>
      </c>
      <c r="J4" s="6" t="s">
        <v>81</v>
      </c>
      <c r="K4" s="6" t="s">
        <v>82</v>
      </c>
      <c r="L4" s="6" t="s">
        <v>83</v>
      </c>
      <c r="M4" s="6" t="s">
        <v>84</v>
      </c>
      <c r="N4" s="6" t="s">
        <v>87</v>
      </c>
      <c r="O4" s="6" t="s">
        <v>85</v>
      </c>
      <c r="P4" s="6" t="s">
        <v>83</v>
      </c>
      <c r="Q4" s="6" t="s">
        <v>86</v>
      </c>
      <c r="R4" s="6" t="s">
        <v>87</v>
      </c>
      <c r="S4" s="6" t="s">
        <v>87</v>
      </c>
      <c r="T4" s="6">
        <v>4</v>
      </c>
      <c r="U4" s="6">
        <v>2</v>
      </c>
      <c r="V4" s="6">
        <v>8</v>
      </c>
      <c r="W4" s="6" t="str">
        <f t="shared" si="0"/>
        <v>Medium</v>
      </c>
      <c r="X4" s="6">
        <v>80</v>
      </c>
      <c r="Y4" s="6">
        <v>2</v>
      </c>
      <c r="Z4" s="6" t="str">
        <f t="shared" si="1"/>
        <v>Low</v>
      </c>
      <c r="AA4" s="6" t="s">
        <v>88</v>
      </c>
      <c r="AB4" s="6" t="s">
        <v>87</v>
      </c>
      <c r="AC4" s="6" t="s">
        <v>83</v>
      </c>
      <c r="AD4" s="6" t="s">
        <v>89</v>
      </c>
      <c r="AE4" s="6" t="s">
        <v>90</v>
      </c>
      <c r="AF4" s="6" t="s">
        <v>91</v>
      </c>
      <c r="AG4" s="6" t="s">
        <v>92</v>
      </c>
      <c r="AH4" s="6" t="s">
        <v>108</v>
      </c>
      <c r="AI4" s="6" t="s">
        <v>94</v>
      </c>
      <c r="AJ4" s="6" t="s">
        <v>95</v>
      </c>
      <c r="AK4" s="6" t="s">
        <v>96</v>
      </c>
    </row>
    <row r="5" spans="1:37" ht="82.05" customHeight="1" x14ac:dyDescent="0.3">
      <c r="A5" s="6" t="s">
        <v>109</v>
      </c>
      <c r="B5" s="6" t="s">
        <v>110</v>
      </c>
      <c r="C5" s="6" t="s">
        <v>111</v>
      </c>
      <c r="D5" s="6" t="s">
        <v>106</v>
      </c>
      <c r="E5" s="6" t="s">
        <v>76</v>
      </c>
      <c r="F5" s="6" t="s">
        <v>77</v>
      </c>
      <c r="G5" s="6" t="s">
        <v>112</v>
      </c>
      <c r="H5" s="6" t="s">
        <v>80</v>
      </c>
      <c r="I5" s="6" t="s">
        <v>80</v>
      </c>
      <c r="J5" s="6" t="s">
        <v>81</v>
      </c>
      <c r="K5" s="6" t="s">
        <v>82</v>
      </c>
      <c r="L5" s="6" t="s">
        <v>83</v>
      </c>
      <c r="M5" s="6" t="s">
        <v>84</v>
      </c>
      <c r="N5" s="6" t="s">
        <v>87</v>
      </c>
      <c r="O5" s="6" t="s">
        <v>85</v>
      </c>
      <c r="P5" s="6" t="s">
        <v>83</v>
      </c>
      <c r="Q5" s="6" t="s">
        <v>86</v>
      </c>
      <c r="R5" s="6" t="s">
        <v>87</v>
      </c>
      <c r="S5" s="6" t="s">
        <v>87</v>
      </c>
      <c r="T5" s="6">
        <v>4</v>
      </c>
      <c r="U5" s="6">
        <v>4</v>
      </c>
      <c r="V5" s="6">
        <v>16</v>
      </c>
      <c r="W5" s="6" t="str">
        <f t="shared" si="0"/>
        <v>High</v>
      </c>
      <c r="X5" s="6">
        <v>80</v>
      </c>
      <c r="Y5" s="6">
        <v>3</v>
      </c>
      <c r="Z5" s="6" t="str">
        <f t="shared" si="1"/>
        <v>Low</v>
      </c>
      <c r="AA5" s="6" t="s">
        <v>88</v>
      </c>
      <c r="AB5" s="6" t="s">
        <v>87</v>
      </c>
      <c r="AC5" s="6" t="s">
        <v>83</v>
      </c>
      <c r="AD5" s="6" t="s">
        <v>89</v>
      </c>
      <c r="AE5" s="6" t="s">
        <v>90</v>
      </c>
      <c r="AF5" s="6" t="s">
        <v>91</v>
      </c>
      <c r="AG5" s="6" t="s">
        <v>92</v>
      </c>
      <c r="AH5" s="6" t="s">
        <v>113</v>
      </c>
      <c r="AI5" s="6" t="s">
        <v>94</v>
      </c>
      <c r="AJ5" s="6" t="s">
        <v>95</v>
      </c>
      <c r="AK5" s="6" t="s">
        <v>96</v>
      </c>
    </row>
    <row r="6" spans="1:37" ht="82.05" customHeight="1" x14ac:dyDescent="0.3">
      <c r="A6" s="6" t="s">
        <v>114</v>
      </c>
      <c r="B6" s="6" t="s">
        <v>115</v>
      </c>
      <c r="C6" s="6" t="s">
        <v>116</v>
      </c>
      <c r="D6" s="6" t="s">
        <v>106</v>
      </c>
      <c r="E6" s="6" t="s">
        <v>117</v>
      </c>
      <c r="F6" s="6" t="s">
        <v>77</v>
      </c>
      <c r="G6" s="6" t="s">
        <v>118</v>
      </c>
      <c r="H6" s="6" t="s">
        <v>80</v>
      </c>
      <c r="I6" s="6" t="s">
        <v>80</v>
      </c>
      <c r="J6" s="6" t="s">
        <v>81</v>
      </c>
      <c r="K6" s="6" t="s">
        <v>82</v>
      </c>
      <c r="L6" s="6" t="s">
        <v>83</v>
      </c>
      <c r="M6" s="6" t="s">
        <v>84</v>
      </c>
      <c r="N6" s="6" t="s">
        <v>87</v>
      </c>
      <c r="O6" s="6" t="s">
        <v>85</v>
      </c>
      <c r="P6" s="6" t="s">
        <v>83</v>
      </c>
      <c r="Q6" s="6" t="s">
        <v>87</v>
      </c>
      <c r="R6" s="6" t="s">
        <v>87</v>
      </c>
      <c r="S6" s="6" t="s">
        <v>87</v>
      </c>
      <c r="T6" s="6">
        <v>4</v>
      </c>
      <c r="U6" s="6">
        <v>2</v>
      </c>
      <c r="V6" s="6">
        <v>8</v>
      </c>
      <c r="W6" s="6" t="str">
        <f t="shared" si="0"/>
        <v>Medium</v>
      </c>
      <c r="X6" s="6">
        <v>80</v>
      </c>
      <c r="Y6" s="6">
        <v>2</v>
      </c>
      <c r="Z6" s="6" t="str">
        <f t="shared" si="1"/>
        <v>Low</v>
      </c>
      <c r="AA6" s="6" t="s">
        <v>88</v>
      </c>
      <c r="AB6" s="6" t="s">
        <v>87</v>
      </c>
      <c r="AC6" s="6" t="s">
        <v>83</v>
      </c>
      <c r="AD6" s="6" t="s">
        <v>89</v>
      </c>
      <c r="AE6" s="6" t="s">
        <v>90</v>
      </c>
      <c r="AF6" s="6" t="s">
        <v>91</v>
      </c>
      <c r="AG6" s="6" t="s">
        <v>92</v>
      </c>
      <c r="AH6" s="6" t="s">
        <v>119</v>
      </c>
      <c r="AI6" s="6" t="s">
        <v>94</v>
      </c>
      <c r="AJ6" s="6" t="s">
        <v>95</v>
      </c>
      <c r="AK6" s="6" t="s">
        <v>96</v>
      </c>
    </row>
    <row r="7" spans="1:37" ht="82.05" customHeight="1" x14ac:dyDescent="0.3">
      <c r="A7" s="6" t="s">
        <v>120</v>
      </c>
      <c r="B7" s="6" t="s">
        <v>121</v>
      </c>
      <c r="C7" s="6" t="s">
        <v>122</v>
      </c>
      <c r="D7" s="6" t="s">
        <v>75</v>
      </c>
      <c r="E7" s="6" t="s">
        <v>123</v>
      </c>
      <c r="F7" s="6" t="s">
        <v>77</v>
      </c>
      <c r="G7" s="6" t="s">
        <v>124</v>
      </c>
      <c r="H7" s="6" t="s">
        <v>79</v>
      </c>
      <c r="I7" s="6" t="s">
        <v>80</v>
      </c>
      <c r="J7" s="6" t="s">
        <v>81</v>
      </c>
      <c r="K7" s="6" t="s">
        <v>82</v>
      </c>
      <c r="L7" s="6" t="s">
        <v>83</v>
      </c>
      <c r="M7" s="6" t="s">
        <v>84</v>
      </c>
      <c r="N7" s="6" t="s">
        <v>80</v>
      </c>
      <c r="O7" s="6" t="s">
        <v>85</v>
      </c>
      <c r="P7" s="6" t="s">
        <v>83</v>
      </c>
      <c r="Q7" s="6" t="s">
        <v>86</v>
      </c>
      <c r="R7" s="6" t="s">
        <v>87</v>
      </c>
      <c r="S7" s="6" t="s">
        <v>87</v>
      </c>
      <c r="T7" s="6">
        <v>5</v>
      </c>
      <c r="U7" s="6">
        <v>3</v>
      </c>
      <c r="V7" s="6">
        <v>15</v>
      </c>
      <c r="W7" s="6" t="str">
        <f t="shared" si="0"/>
        <v>High</v>
      </c>
      <c r="X7" s="6">
        <v>60</v>
      </c>
      <c r="Y7" s="6">
        <v>6</v>
      </c>
      <c r="Z7" s="6" t="str">
        <f t="shared" si="1"/>
        <v>Medium</v>
      </c>
      <c r="AA7" s="6" t="s">
        <v>88</v>
      </c>
      <c r="AB7" s="6" t="s">
        <v>87</v>
      </c>
      <c r="AC7" s="6" t="s">
        <v>83</v>
      </c>
      <c r="AD7" s="6" t="s">
        <v>89</v>
      </c>
      <c r="AE7" s="6" t="s">
        <v>90</v>
      </c>
      <c r="AF7" s="6" t="s">
        <v>91</v>
      </c>
      <c r="AG7" s="6" t="s">
        <v>92</v>
      </c>
      <c r="AH7" s="6" t="s">
        <v>125</v>
      </c>
      <c r="AI7" s="6" t="s">
        <v>94</v>
      </c>
      <c r="AJ7" s="6" t="s">
        <v>95</v>
      </c>
      <c r="AK7" s="6" t="s">
        <v>96</v>
      </c>
    </row>
    <row r="8" spans="1:37" ht="82.05" customHeight="1" x14ac:dyDescent="0.3">
      <c r="A8" s="6" t="s">
        <v>126</v>
      </c>
      <c r="B8" s="6" t="s">
        <v>127</v>
      </c>
      <c r="C8" s="6" t="s">
        <v>128</v>
      </c>
      <c r="D8" s="6" t="s">
        <v>129</v>
      </c>
      <c r="E8" s="6" t="s">
        <v>130</v>
      </c>
      <c r="F8" s="6" t="s">
        <v>77</v>
      </c>
      <c r="G8" s="6" t="s">
        <v>131</v>
      </c>
      <c r="H8" s="6" t="s">
        <v>87</v>
      </c>
      <c r="I8" s="6" t="s">
        <v>87</v>
      </c>
      <c r="J8" s="6" t="s">
        <v>81</v>
      </c>
      <c r="K8" s="6" t="s">
        <v>82</v>
      </c>
      <c r="L8" s="6" t="s">
        <v>83</v>
      </c>
      <c r="M8" s="6" t="s">
        <v>84</v>
      </c>
      <c r="N8" s="6" t="s">
        <v>86</v>
      </c>
      <c r="O8" s="6" t="s">
        <v>85</v>
      </c>
      <c r="P8" s="6" t="s">
        <v>83</v>
      </c>
      <c r="Q8" s="6" t="s">
        <v>86</v>
      </c>
      <c r="R8" s="6" t="s">
        <v>87</v>
      </c>
      <c r="S8" s="6" t="s">
        <v>87</v>
      </c>
      <c r="T8" s="6">
        <v>3</v>
      </c>
      <c r="U8" s="6">
        <v>5</v>
      </c>
      <c r="V8" s="6">
        <v>15</v>
      </c>
      <c r="W8" s="6" t="str">
        <f t="shared" si="0"/>
        <v>High</v>
      </c>
      <c r="X8" s="6">
        <v>80</v>
      </c>
      <c r="Y8" s="6">
        <v>3</v>
      </c>
      <c r="Z8" s="6" t="str">
        <f t="shared" si="1"/>
        <v>Low</v>
      </c>
      <c r="AA8" s="6" t="s">
        <v>88</v>
      </c>
      <c r="AB8" s="6" t="s">
        <v>87</v>
      </c>
      <c r="AC8" s="6" t="s">
        <v>83</v>
      </c>
      <c r="AD8" s="6" t="s">
        <v>89</v>
      </c>
      <c r="AE8" s="6" t="s">
        <v>90</v>
      </c>
      <c r="AF8" s="6" t="s">
        <v>91</v>
      </c>
      <c r="AG8" s="6" t="s">
        <v>92</v>
      </c>
      <c r="AH8" s="6" t="s">
        <v>132</v>
      </c>
      <c r="AI8" s="6" t="s">
        <v>94</v>
      </c>
      <c r="AJ8" s="6" t="s">
        <v>95</v>
      </c>
      <c r="AK8" s="6" t="s">
        <v>96</v>
      </c>
    </row>
    <row r="9" spans="1:37" ht="82.05" customHeight="1" x14ac:dyDescent="0.3">
      <c r="A9" s="6" t="s">
        <v>133</v>
      </c>
      <c r="B9" s="6" t="s">
        <v>134</v>
      </c>
      <c r="C9" s="6" t="s">
        <v>135</v>
      </c>
      <c r="D9" s="6" t="s">
        <v>106</v>
      </c>
      <c r="E9" s="6" t="s">
        <v>130</v>
      </c>
      <c r="F9" s="6" t="s">
        <v>77</v>
      </c>
      <c r="G9" s="6" t="s">
        <v>136</v>
      </c>
      <c r="H9" s="6" t="s">
        <v>80</v>
      </c>
      <c r="I9" s="6" t="s">
        <v>80</v>
      </c>
      <c r="J9" s="6" t="s">
        <v>81</v>
      </c>
      <c r="K9" s="6" t="s">
        <v>82</v>
      </c>
      <c r="L9" s="6" t="s">
        <v>83</v>
      </c>
      <c r="M9" s="6" t="s">
        <v>84</v>
      </c>
      <c r="N9" s="6" t="s">
        <v>87</v>
      </c>
      <c r="O9" s="6" t="s">
        <v>85</v>
      </c>
      <c r="P9" s="6" t="s">
        <v>83</v>
      </c>
      <c r="Q9" s="6" t="s">
        <v>86</v>
      </c>
      <c r="R9" s="6" t="s">
        <v>87</v>
      </c>
      <c r="S9" s="6" t="s">
        <v>87</v>
      </c>
      <c r="T9" s="6">
        <v>4</v>
      </c>
      <c r="U9" s="6">
        <v>4</v>
      </c>
      <c r="V9" s="6">
        <v>16</v>
      </c>
      <c r="W9" s="6" t="str">
        <f t="shared" si="0"/>
        <v>High</v>
      </c>
      <c r="X9" s="6">
        <v>80</v>
      </c>
      <c r="Y9" s="6">
        <v>3</v>
      </c>
      <c r="Z9" s="6" t="str">
        <f t="shared" si="1"/>
        <v>Low</v>
      </c>
      <c r="AA9" s="6" t="s">
        <v>88</v>
      </c>
      <c r="AB9" s="6" t="s">
        <v>87</v>
      </c>
      <c r="AC9" s="6" t="s">
        <v>83</v>
      </c>
      <c r="AD9" s="6" t="s">
        <v>89</v>
      </c>
      <c r="AE9" s="6" t="s">
        <v>90</v>
      </c>
      <c r="AF9" s="6" t="s">
        <v>91</v>
      </c>
      <c r="AG9" s="6" t="s">
        <v>92</v>
      </c>
      <c r="AH9" s="6" t="s">
        <v>137</v>
      </c>
      <c r="AI9" s="6" t="s">
        <v>94</v>
      </c>
      <c r="AJ9" s="6" t="s">
        <v>95</v>
      </c>
      <c r="AK9" s="6" t="s">
        <v>96</v>
      </c>
    </row>
    <row r="10" spans="1:37" ht="82.05" customHeight="1" x14ac:dyDescent="0.3">
      <c r="A10" s="6" t="s">
        <v>138</v>
      </c>
      <c r="B10" s="6" t="s">
        <v>139</v>
      </c>
      <c r="C10" s="6" t="s">
        <v>140</v>
      </c>
      <c r="D10" s="6" t="s">
        <v>129</v>
      </c>
      <c r="E10" s="6" t="s">
        <v>141</v>
      </c>
      <c r="F10" s="6" t="s">
        <v>77</v>
      </c>
      <c r="G10" s="6" t="s">
        <v>142</v>
      </c>
      <c r="H10" s="6" t="s">
        <v>87</v>
      </c>
      <c r="I10" s="6" t="s">
        <v>87</v>
      </c>
      <c r="J10" s="6" t="s">
        <v>81</v>
      </c>
      <c r="K10" s="6" t="s">
        <v>82</v>
      </c>
      <c r="L10" s="6" t="s">
        <v>83</v>
      </c>
      <c r="M10" s="6" t="s">
        <v>84</v>
      </c>
      <c r="N10" s="6" t="s">
        <v>86</v>
      </c>
      <c r="O10" s="6" t="s">
        <v>85</v>
      </c>
      <c r="P10" s="6" t="s">
        <v>83</v>
      </c>
      <c r="Q10" s="6" t="s">
        <v>86</v>
      </c>
      <c r="R10" s="6" t="s">
        <v>87</v>
      </c>
      <c r="S10" s="6" t="s">
        <v>87</v>
      </c>
      <c r="T10" s="6">
        <v>3</v>
      </c>
      <c r="U10" s="6">
        <v>2</v>
      </c>
      <c r="V10" s="6">
        <v>6</v>
      </c>
      <c r="W10" s="6" t="str">
        <f t="shared" si="0"/>
        <v>Medium</v>
      </c>
      <c r="X10" s="6">
        <v>80</v>
      </c>
      <c r="Y10" s="6">
        <v>1</v>
      </c>
      <c r="Z10" s="6" t="str">
        <f t="shared" si="1"/>
        <v>Low</v>
      </c>
      <c r="AA10" s="6" t="s">
        <v>88</v>
      </c>
      <c r="AB10" s="6" t="s">
        <v>87</v>
      </c>
      <c r="AC10" s="6" t="s">
        <v>83</v>
      </c>
      <c r="AD10" s="6" t="s">
        <v>89</v>
      </c>
      <c r="AE10" s="6" t="s">
        <v>90</v>
      </c>
      <c r="AF10" s="6" t="s">
        <v>91</v>
      </c>
      <c r="AG10" s="6" t="s">
        <v>92</v>
      </c>
      <c r="AH10" s="6" t="s">
        <v>143</v>
      </c>
      <c r="AI10" s="6" t="s">
        <v>94</v>
      </c>
      <c r="AJ10" s="6" t="s">
        <v>95</v>
      </c>
      <c r="AK10" s="6" t="s">
        <v>96</v>
      </c>
    </row>
    <row r="11" spans="1:37" ht="82.05" customHeight="1" x14ac:dyDescent="0.3">
      <c r="A11" s="6" t="s">
        <v>144</v>
      </c>
      <c r="B11" s="6" t="s">
        <v>145</v>
      </c>
      <c r="C11" s="6" t="s">
        <v>146</v>
      </c>
      <c r="D11" s="6" t="s">
        <v>106</v>
      </c>
      <c r="E11" s="6" t="s">
        <v>147</v>
      </c>
      <c r="F11" s="6" t="s">
        <v>77</v>
      </c>
      <c r="G11" s="6" t="s">
        <v>148</v>
      </c>
      <c r="H11" s="6" t="s">
        <v>80</v>
      </c>
      <c r="I11" s="6" t="s">
        <v>80</v>
      </c>
      <c r="J11" s="6" t="s">
        <v>81</v>
      </c>
      <c r="K11" s="6" t="s">
        <v>82</v>
      </c>
      <c r="L11" s="6" t="s">
        <v>83</v>
      </c>
      <c r="M11" s="6" t="s">
        <v>84</v>
      </c>
      <c r="N11" s="6" t="s">
        <v>87</v>
      </c>
      <c r="O11" s="6" t="s">
        <v>85</v>
      </c>
      <c r="P11" s="6" t="s">
        <v>83</v>
      </c>
      <c r="Q11" s="6" t="s">
        <v>87</v>
      </c>
      <c r="R11" s="6" t="s">
        <v>87</v>
      </c>
      <c r="S11" s="6" t="s">
        <v>87</v>
      </c>
      <c r="T11" s="6">
        <v>4</v>
      </c>
      <c r="U11" s="6">
        <v>3</v>
      </c>
      <c r="V11" s="6">
        <v>12</v>
      </c>
      <c r="W11" s="6" t="str">
        <f t="shared" si="0"/>
        <v>High</v>
      </c>
      <c r="X11" s="6">
        <v>80</v>
      </c>
      <c r="Y11" s="6">
        <v>2</v>
      </c>
      <c r="Z11" s="6" t="str">
        <f t="shared" si="1"/>
        <v>Low</v>
      </c>
      <c r="AA11" s="6" t="s">
        <v>88</v>
      </c>
      <c r="AB11" s="6" t="s">
        <v>87</v>
      </c>
      <c r="AC11" s="6" t="s">
        <v>83</v>
      </c>
      <c r="AD11" s="6" t="s">
        <v>89</v>
      </c>
      <c r="AE11" s="6" t="s">
        <v>90</v>
      </c>
      <c r="AF11" s="6" t="s">
        <v>91</v>
      </c>
      <c r="AG11" s="6" t="s">
        <v>92</v>
      </c>
      <c r="AH11" s="6" t="s">
        <v>149</v>
      </c>
      <c r="AI11" s="6" t="s">
        <v>94</v>
      </c>
      <c r="AJ11" s="6" t="s">
        <v>95</v>
      </c>
      <c r="AK11" s="6" t="s">
        <v>96</v>
      </c>
    </row>
    <row r="12" spans="1:37" ht="82.05" customHeight="1" x14ac:dyDescent="0.3">
      <c r="A12" s="6" t="s">
        <v>150</v>
      </c>
      <c r="B12" s="6" t="s">
        <v>151</v>
      </c>
      <c r="C12" s="6" t="s">
        <v>152</v>
      </c>
      <c r="D12" s="6" t="s">
        <v>75</v>
      </c>
      <c r="E12" s="6" t="s">
        <v>39</v>
      </c>
      <c r="F12" s="6" t="s">
        <v>77</v>
      </c>
      <c r="G12" s="6" t="s">
        <v>153</v>
      </c>
      <c r="H12" s="6" t="s">
        <v>79</v>
      </c>
      <c r="I12" s="6" t="s">
        <v>80</v>
      </c>
      <c r="J12" s="6" t="s">
        <v>81</v>
      </c>
      <c r="K12" s="6" t="s">
        <v>82</v>
      </c>
      <c r="L12" s="6" t="s">
        <v>83</v>
      </c>
      <c r="M12" s="6" t="s">
        <v>84</v>
      </c>
      <c r="N12" s="6" t="s">
        <v>80</v>
      </c>
      <c r="O12" s="6" t="s">
        <v>85</v>
      </c>
      <c r="P12" s="6" t="s">
        <v>83</v>
      </c>
      <c r="Q12" s="6" t="s">
        <v>86</v>
      </c>
      <c r="R12" s="6" t="s">
        <v>87</v>
      </c>
      <c r="S12" s="6" t="s">
        <v>87</v>
      </c>
      <c r="T12" s="6">
        <v>5</v>
      </c>
      <c r="U12" s="6">
        <v>2</v>
      </c>
      <c r="V12" s="6">
        <v>10</v>
      </c>
      <c r="W12" s="6" t="str">
        <f t="shared" si="0"/>
        <v>High</v>
      </c>
      <c r="X12" s="6">
        <v>80</v>
      </c>
      <c r="Y12" s="6">
        <v>2</v>
      </c>
      <c r="Z12" s="6" t="str">
        <f t="shared" si="1"/>
        <v>Low</v>
      </c>
      <c r="AA12" s="6" t="s">
        <v>88</v>
      </c>
      <c r="AB12" s="6" t="s">
        <v>87</v>
      </c>
      <c r="AC12" s="6" t="s">
        <v>83</v>
      </c>
      <c r="AD12" s="6" t="s">
        <v>89</v>
      </c>
      <c r="AE12" s="6" t="s">
        <v>90</v>
      </c>
      <c r="AF12" s="6" t="s">
        <v>91</v>
      </c>
      <c r="AG12" s="6" t="s">
        <v>92</v>
      </c>
      <c r="AH12" s="6" t="s">
        <v>154</v>
      </c>
      <c r="AI12" s="6" t="s">
        <v>94</v>
      </c>
      <c r="AJ12" s="6" t="s">
        <v>95</v>
      </c>
      <c r="AK12" s="6" t="s">
        <v>96</v>
      </c>
    </row>
    <row r="13" spans="1:37" ht="82.05" customHeight="1" x14ac:dyDescent="0.3">
      <c r="A13" s="6" t="s">
        <v>155</v>
      </c>
      <c r="B13" s="6" t="s">
        <v>156</v>
      </c>
      <c r="C13" s="6" t="s">
        <v>157</v>
      </c>
      <c r="D13" s="6" t="s">
        <v>129</v>
      </c>
      <c r="E13" s="6" t="s">
        <v>39</v>
      </c>
      <c r="F13" s="6" t="s">
        <v>77</v>
      </c>
      <c r="G13" s="6" t="s">
        <v>153</v>
      </c>
      <c r="H13" s="6" t="s">
        <v>87</v>
      </c>
      <c r="I13" s="6" t="s">
        <v>87</v>
      </c>
      <c r="J13" s="6" t="s">
        <v>81</v>
      </c>
      <c r="K13" s="6" t="s">
        <v>82</v>
      </c>
      <c r="L13" s="6" t="s">
        <v>83</v>
      </c>
      <c r="M13" s="6" t="s">
        <v>84</v>
      </c>
      <c r="N13" s="6" t="s">
        <v>86</v>
      </c>
      <c r="O13" s="6" t="s">
        <v>85</v>
      </c>
      <c r="P13" s="6" t="s">
        <v>83</v>
      </c>
      <c r="Q13" s="6" t="s">
        <v>86</v>
      </c>
      <c r="R13" s="6" t="s">
        <v>87</v>
      </c>
      <c r="S13" s="6" t="s">
        <v>87</v>
      </c>
      <c r="T13" s="6">
        <v>3</v>
      </c>
      <c r="U13" s="6">
        <v>4</v>
      </c>
      <c r="V13" s="6">
        <v>12</v>
      </c>
      <c r="W13" s="6" t="str">
        <f t="shared" si="0"/>
        <v>High</v>
      </c>
      <c r="X13" s="6">
        <v>60</v>
      </c>
      <c r="Y13" s="6">
        <v>5</v>
      </c>
      <c r="Z13" s="6" t="str">
        <f t="shared" si="1"/>
        <v>Medium</v>
      </c>
      <c r="AA13" s="6" t="s">
        <v>88</v>
      </c>
      <c r="AB13" s="6" t="s">
        <v>87</v>
      </c>
      <c r="AC13" s="6" t="s">
        <v>83</v>
      </c>
      <c r="AD13" s="6" t="s">
        <v>89</v>
      </c>
      <c r="AE13" s="6" t="s">
        <v>90</v>
      </c>
      <c r="AF13" s="6" t="s">
        <v>91</v>
      </c>
      <c r="AG13" s="6" t="s">
        <v>92</v>
      </c>
      <c r="AH13" s="6" t="s">
        <v>158</v>
      </c>
      <c r="AI13" s="6" t="s">
        <v>94</v>
      </c>
      <c r="AJ13" s="6" t="s">
        <v>95</v>
      </c>
      <c r="AK13" s="6" t="s">
        <v>96</v>
      </c>
    </row>
    <row r="14" spans="1:37" ht="82.05" customHeight="1" x14ac:dyDescent="0.3">
      <c r="A14" s="6" t="s">
        <v>159</v>
      </c>
      <c r="B14" s="6" t="s">
        <v>160</v>
      </c>
      <c r="C14" s="6" t="s">
        <v>161</v>
      </c>
      <c r="D14" s="6" t="s">
        <v>75</v>
      </c>
      <c r="E14" s="6" t="s">
        <v>39</v>
      </c>
      <c r="F14" s="6" t="s">
        <v>77</v>
      </c>
      <c r="G14" s="6" t="s">
        <v>153</v>
      </c>
      <c r="H14" s="6" t="s">
        <v>79</v>
      </c>
      <c r="I14" s="6" t="s">
        <v>80</v>
      </c>
      <c r="J14" s="6" t="s">
        <v>81</v>
      </c>
      <c r="K14" s="6" t="s">
        <v>82</v>
      </c>
      <c r="L14" s="6" t="s">
        <v>83</v>
      </c>
      <c r="M14" s="6" t="s">
        <v>84</v>
      </c>
      <c r="N14" s="6" t="s">
        <v>80</v>
      </c>
      <c r="O14" s="6" t="s">
        <v>85</v>
      </c>
      <c r="P14" s="6" t="s">
        <v>83</v>
      </c>
      <c r="Q14" s="6" t="s">
        <v>86</v>
      </c>
      <c r="R14" s="6" t="s">
        <v>87</v>
      </c>
      <c r="S14" s="6" t="s">
        <v>87</v>
      </c>
      <c r="T14" s="6">
        <v>5</v>
      </c>
      <c r="U14" s="6">
        <v>2</v>
      </c>
      <c r="V14" s="6">
        <v>10</v>
      </c>
      <c r="W14" s="6" t="str">
        <f t="shared" si="0"/>
        <v>High</v>
      </c>
      <c r="X14" s="6">
        <v>80</v>
      </c>
      <c r="Y14" s="6">
        <v>2</v>
      </c>
      <c r="Z14" s="6" t="str">
        <f t="shared" si="1"/>
        <v>Low</v>
      </c>
      <c r="AA14" s="6" t="s">
        <v>88</v>
      </c>
      <c r="AB14" s="6" t="s">
        <v>87</v>
      </c>
      <c r="AC14" s="6" t="s">
        <v>83</v>
      </c>
      <c r="AD14" s="6" t="s">
        <v>89</v>
      </c>
      <c r="AE14" s="6" t="s">
        <v>90</v>
      </c>
      <c r="AF14" s="6" t="s">
        <v>91</v>
      </c>
      <c r="AG14" s="6" t="s">
        <v>92</v>
      </c>
      <c r="AH14" s="6" t="s">
        <v>162</v>
      </c>
      <c r="AI14" s="6" t="s">
        <v>94</v>
      </c>
      <c r="AJ14" s="6" t="s">
        <v>95</v>
      </c>
      <c r="AK14" s="6" t="s">
        <v>96</v>
      </c>
    </row>
    <row r="15" spans="1:37" ht="82.05" customHeight="1" x14ac:dyDescent="0.3">
      <c r="A15" s="6" t="s">
        <v>163</v>
      </c>
      <c r="B15" s="6" t="s">
        <v>164</v>
      </c>
      <c r="C15" s="6" t="s">
        <v>165</v>
      </c>
      <c r="D15" s="6" t="s">
        <v>106</v>
      </c>
      <c r="E15" s="6" t="s">
        <v>39</v>
      </c>
      <c r="F15" s="6" t="s">
        <v>77</v>
      </c>
      <c r="G15" s="6" t="s">
        <v>153</v>
      </c>
      <c r="H15" s="6" t="s">
        <v>80</v>
      </c>
      <c r="I15" s="6" t="s">
        <v>80</v>
      </c>
      <c r="J15" s="6" t="s">
        <v>81</v>
      </c>
      <c r="K15" s="6" t="s">
        <v>82</v>
      </c>
      <c r="L15" s="6" t="s">
        <v>83</v>
      </c>
      <c r="M15" s="6" t="s">
        <v>84</v>
      </c>
      <c r="N15" s="6" t="s">
        <v>87</v>
      </c>
      <c r="O15" s="6" t="s">
        <v>85</v>
      </c>
      <c r="P15" s="6" t="s">
        <v>83</v>
      </c>
      <c r="Q15" s="6" t="s">
        <v>86</v>
      </c>
      <c r="R15" s="6" t="s">
        <v>87</v>
      </c>
      <c r="S15" s="6" t="s">
        <v>87</v>
      </c>
      <c r="T15" s="6">
        <v>4</v>
      </c>
      <c r="U15" s="6">
        <v>5</v>
      </c>
      <c r="V15" s="6">
        <v>20</v>
      </c>
      <c r="W15" s="6" t="str">
        <f t="shared" si="0"/>
        <v>Critical</v>
      </c>
      <c r="X15" s="6">
        <v>80</v>
      </c>
      <c r="Y15" s="6">
        <v>4</v>
      </c>
      <c r="Z15" s="6" t="str">
        <f t="shared" si="1"/>
        <v>Low</v>
      </c>
      <c r="AA15" s="6" t="s">
        <v>88</v>
      </c>
      <c r="AB15" s="6" t="s">
        <v>87</v>
      </c>
      <c r="AC15" s="6" t="s">
        <v>83</v>
      </c>
      <c r="AD15" s="6" t="s">
        <v>89</v>
      </c>
      <c r="AE15" s="6" t="s">
        <v>90</v>
      </c>
      <c r="AF15" s="6" t="s">
        <v>91</v>
      </c>
      <c r="AG15" s="6" t="s">
        <v>92</v>
      </c>
      <c r="AH15" s="6" t="s">
        <v>166</v>
      </c>
      <c r="AI15" s="6" t="s">
        <v>94</v>
      </c>
      <c r="AJ15" s="6" t="s">
        <v>95</v>
      </c>
      <c r="AK15" s="6" t="s">
        <v>96</v>
      </c>
    </row>
    <row r="16" spans="1:37" ht="82.05" customHeight="1" x14ac:dyDescent="0.3">
      <c r="A16" s="6" t="s">
        <v>167</v>
      </c>
      <c r="B16" s="6" t="s">
        <v>168</v>
      </c>
      <c r="C16" s="6" t="s">
        <v>169</v>
      </c>
      <c r="D16" s="6" t="s">
        <v>129</v>
      </c>
      <c r="E16" s="6" t="s">
        <v>39</v>
      </c>
      <c r="F16" s="6" t="s">
        <v>77</v>
      </c>
      <c r="G16" s="6" t="s">
        <v>153</v>
      </c>
      <c r="H16" s="6" t="s">
        <v>87</v>
      </c>
      <c r="I16" s="6" t="s">
        <v>87</v>
      </c>
      <c r="J16" s="6" t="s">
        <v>81</v>
      </c>
      <c r="K16" s="6" t="s">
        <v>82</v>
      </c>
      <c r="L16" s="6" t="s">
        <v>83</v>
      </c>
      <c r="M16" s="6" t="s">
        <v>84</v>
      </c>
      <c r="N16" s="6" t="s">
        <v>86</v>
      </c>
      <c r="O16" s="6" t="s">
        <v>85</v>
      </c>
      <c r="P16" s="6" t="s">
        <v>83</v>
      </c>
      <c r="Q16" s="6" t="s">
        <v>87</v>
      </c>
      <c r="R16" s="6" t="s">
        <v>87</v>
      </c>
      <c r="S16" s="6" t="s">
        <v>87</v>
      </c>
      <c r="T16" s="6">
        <v>3</v>
      </c>
      <c r="U16" s="6">
        <v>2</v>
      </c>
      <c r="V16" s="6">
        <v>6</v>
      </c>
      <c r="W16" s="6" t="str">
        <f t="shared" si="0"/>
        <v>Medium</v>
      </c>
      <c r="X16" s="6">
        <v>80</v>
      </c>
      <c r="Y16" s="6">
        <v>1</v>
      </c>
      <c r="Z16" s="6" t="str">
        <f t="shared" si="1"/>
        <v>Low</v>
      </c>
      <c r="AA16" s="6" t="s">
        <v>88</v>
      </c>
      <c r="AB16" s="6" t="s">
        <v>87</v>
      </c>
      <c r="AC16" s="6" t="s">
        <v>83</v>
      </c>
      <c r="AD16" s="6" t="s">
        <v>89</v>
      </c>
      <c r="AE16" s="6" t="s">
        <v>90</v>
      </c>
      <c r="AF16" s="6" t="s">
        <v>91</v>
      </c>
      <c r="AG16" s="6" t="s">
        <v>92</v>
      </c>
      <c r="AH16" s="6" t="s">
        <v>170</v>
      </c>
      <c r="AI16" s="6" t="s">
        <v>94</v>
      </c>
      <c r="AJ16" s="6" t="s">
        <v>95</v>
      </c>
      <c r="AK16" s="6" t="s">
        <v>96</v>
      </c>
    </row>
    <row r="17" spans="1:37" ht="82.05" customHeight="1" x14ac:dyDescent="0.3">
      <c r="A17" s="6" t="s">
        <v>171</v>
      </c>
      <c r="B17" s="6" t="s">
        <v>172</v>
      </c>
      <c r="C17" s="6" t="s">
        <v>173</v>
      </c>
      <c r="D17" s="6" t="s">
        <v>106</v>
      </c>
      <c r="E17" s="6" t="s">
        <v>39</v>
      </c>
      <c r="F17" s="6" t="s">
        <v>77</v>
      </c>
      <c r="G17" s="6" t="s">
        <v>153</v>
      </c>
      <c r="H17" s="6" t="s">
        <v>80</v>
      </c>
      <c r="I17" s="6" t="s">
        <v>80</v>
      </c>
      <c r="J17" s="6" t="s">
        <v>81</v>
      </c>
      <c r="K17" s="6" t="s">
        <v>82</v>
      </c>
      <c r="L17" s="6" t="s">
        <v>83</v>
      </c>
      <c r="M17" s="6" t="s">
        <v>84</v>
      </c>
      <c r="N17" s="6" t="s">
        <v>87</v>
      </c>
      <c r="O17" s="6" t="s">
        <v>85</v>
      </c>
      <c r="P17" s="6" t="s">
        <v>83</v>
      </c>
      <c r="Q17" s="6" t="s">
        <v>86</v>
      </c>
      <c r="R17" s="6" t="s">
        <v>87</v>
      </c>
      <c r="S17" s="6" t="s">
        <v>87</v>
      </c>
      <c r="T17" s="6">
        <v>4</v>
      </c>
      <c r="U17" s="6">
        <v>4</v>
      </c>
      <c r="V17" s="6">
        <v>16</v>
      </c>
      <c r="W17" s="6" t="str">
        <f t="shared" si="0"/>
        <v>High</v>
      </c>
      <c r="X17" s="6">
        <v>80</v>
      </c>
      <c r="Y17" s="6">
        <v>3</v>
      </c>
      <c r="Z17" s="6" t="str">
        <f t="shared" si="1"/>
        <v>Low</v>
      </c>
      <c r="AA17" s="6" t="s">
        <v>88</v>
      </c>
      <c r="AB17" s="6" t="s">
        <v>87</v>
      </c>
      <c r="AC17" s="6" t="s">
        <v>83</v>
      </c>
      <c r="AD17" s="6" t="s">
        <v>89</v>
      </c>
      <c r="AE17" s="6" t="s">
        <v>90</v>
      </c>
      <c r="AF17" s="6" t="s">
        <v>91</v>
      </c>
      <c r="AG17" s="6" t="s">
        <v>92</v>
      </c>
      <c r="AH17" s="6" t="s">
        <v>174</v>
      </c>
      <c r="AI17" s="6" t="s">
        <v>94</v>
      </c>
      <c r="AJ17" s="6" t="s">
        <v>95</v>
      </c>
      <c r="AK17" s="6" t="s">
        <v>96</v>
      </c>
    </row>
    <row r="18" spans="1:37" ht="82.05" customHeight="1" x14ac:dyDescent="0.3">
      <c r="A18" s="6" t="s">
        <v>175</v>
      </c>
      <c r="B18" s="6" t="s">
        <v>176</v>
      </c>
      <c r="C18" s="6" t="s">
        <v>177</v>
      </c>
      <c r="D18" s="6" t="s">
        <v>75</v>
      </c>
      <c r="E18" s="6" t="s">
        <v>39</v>
      </c>
      <c r="F18" s="6" t="s">
        <v>77</v>
      </c>
      <c r="G18" s="6" t="s">
        <v>153</v>
      </c>
      <c r="H18" s="6" t="s">
        <v>79</v>
      </c>
      <c r="I18" s="6" t="s">
        <v>80</v>
      </c>
      <c r="J18" s="6" t="s">
        <v>81</v>
      </c>
      <c r="K18" s="6" t="s">
        <v>82</v>
      </c>
      <c r="L18" s="6" t="s">
        <v>83</v>
      </c>
      <c r="M18" s="6" t="s">
        <v>84</v>
      </c>
      <c r="N18" s="6" t="s">
        <v>80</v>
      </c>
      <c r="O18" s="6" t="s">
        <v>85</v>
      </c>
      <c r="P18" s="6" t="s">
        <v>83</v>
      </c>
      <c r="Q18" s="6" t="s">
        <v>86</v>
      </c>
      <c r="R18" s="6" t="s">
        <v>87</v>
      </c>
      <c r="S18" s="6" t="s">
        <v>87</v>
      </c>
      <c r="T18" s="6">
        <v>5</v>
      </c>
      <c r="U18" s="6">
        <v>2</v>
      </c>
      <c r="V18" s="6">
        <v>10</v>
      </c>
      <c r="W18" s="6" t="str">
        <f t="shared" si="0"/>
        <v>High</v>
      </c>
      <c r="X18" s="6">
        <v>80</v>
      </c>
      <c r="Y18" s="6">
        <v>2</v>
      </c>
      <c r="Z18" s="6" t="str">
        <f t="shared" si="1"/>
        <v>Low</v>
      </c>
      <c r="AA18" s="6" t="s">
        <v>88</v>
      </c>
      <c r="AB18" s="6" t="s">
        <v>87</v>
      </c>
      <c r="AC18" s="6" t="s">
        <v>83</v>
      </c>
      <c r="AD18" s="6" t="s">
        <v>89</v>
      </c>
      <c r="AE18" s="6" t="s">
        <v>90</v>
      </c>
      <c r="AF18" s="6" t="s">
        <v>91</v>
      </c>
      <c r="AG18" s="6" t="s">
        <v>92</v>
      </c>
      <c r="AH18" s="6" t="s">
        <v>178</v>
      </c>
      <c r="AI18" s="6" t="s">
        <v>94</v>
      </c>
      <c r="AJ18" s="6" t="s">
        <v>95</v>
      </c>
      <c r="AK18" s="6" t="s">
        <v>96</v>
      </c>
    </row>
    <row r="19" spans="1:37" ht="82.05" customHeight="1" x14ac:dyDescent="0.3">
      <c r="A19" s="6" t="s">
        <v>179</v>
      </c>
      <c r="B19" s="6" t="s">
        <v>180</v>
      </c>
      <c r="C19" s="6" t="s">
        <v>181</v>
      </c>
      <c r="D19" s="6" t="s">
        <v>129</v>
      </c>
      <c r="E19" s="6" t="s">
        <v>39</v>
      </c>
      <c r="F19" s="6" t="s">
        <v>77</v>
      </c>
      <c r="G19" s="6" t="s">
        <v>153</v>
      </c>
      <c r="H19" s="6" t="s">
        <v>87</v>
      </c>
      <c r="I19" s="6" t="s">
        <v>87</v>
      </c>
      <c r="J19" s="6" t="s">
        <v>81</v>
      </c>
      <c r="K19" s="6" t="s">
        <v>82</v>
      </c>
      <c r="L19" s="6" t="s">
        <v>83</v>
      </c>
      <c r="M19" s="6" t="s">
        <v>84</v>
      </c>
      <c r="N19" s="6" t="s">
        <v>86</v>
      </c>
      <c r="O19" s="6" t="s">
        <v>85</v>
      </c>
      <c r="P19" s="6" t="s">
        <v>83</v>
      </c>
      <c r="Q19" s="6" t="s">
        <v>86</v>
      </c>
      <c r="R19" s="6" t="s">
        <v>87</v>
      </c>
      <c r="S19" s="6" t="s">
        <v>87</v>
      </c>
      <c r="T19" s="6">
        <v>3</v>
      </c>
      <c r="U19" s="6">
        <v>3</v>
      </c>
      <c r="V19" s="6">
        <v>9</v>
      </c>
      <c r="W19" s="6" t="str">
        <f t="shared" si="0"/>
        <v>Medium</v>
      </c>
      <c r="X19" s="6">
        <v>60</v>
      </c>
      <c r="Y19" s="6">
        <v>4</v>
      </c>
      <c r="Z19" s="6" t="str">
        <f t="shared" si="1"/>
        <v>Low</v>
      </c>
      <c r="AA19" s="6" t="s">
        <v>88</v>
      </c>
      <c r="AB19" s="6" t="s">
        <v>87</v>
      </c>
      <c r="AC19" s="6" t="s">
        <v>83</v>
      </c>
      <c r="AD19" s="6" t="s">
        <v>89</v>
      </c>
      <c r="AE19" s="6" t="s">
        <v>90</v>
      </c>
      <c r="AF19" s="6" t="s">
        <v>91</v>
      </c>
      <c r="AG19" s="6" t="s">
        <v>92</v>
      </c>
      <c r="AH19" s="6" t="s">
        <v>182</v>
      </c>
      <c r="AI19" s="6" t="s">
        <v>94</v>
      </c>
      <c r="AJ19" s="6" t="s">
        <v>95</v>
      </c>
      <c r="AK19" s="6" t="s">
        <v>96</v>
      </c>
    </row>
    <row r="20" spans="1:37" ht="82.05" customHeight="1" x14ac:dyDescent="0.3">
      <c r="A20" s="6" t="s">
        <v>183</v>
      </c>
      <c r="B20" s="6" t="s">
        <v>184</v>
      </c>
      <c r="C20" s="6" t="s">
        <v>185</v>
      </c>
      <c r="D20" s="6" t="s">
        <v>75</v>
      </c>
      <c r="E20" s="6" t="s">
        <v>39</v>
      </c>
      <c r="F20" s="6" t="s">
        <v>77</v>
      </c>
      <c r="G20" s="6" t="s">
        <v>153</v>
      </c>
      <c r="H20" s="6" t="s">
        <v>79</v>
      </c>
      <c r="I20" s="6" t="s">
        <v>80</v>
      </c>
      <c r="J20" s="6" t="s">
        <v>81</v>
      </c>
      <c r="K20" s="6" t="s">
        <v>82</v>
      </c>
      <c r="L20" s="6" t="s">
        <v>83</v>
      </c>
      <c r="M20" s="6" t="s">
        <v>84</v>
      </c>
      <c r="N20" s="6" t="s">
        <v>80</v>
      </c>
      <c r="O20" s="6" t="s">
        <v>85</v>
      </c>
      <c r="P20" s="6" t="s">
        <v>83</v>
      </c>
      <c r="Q20" s="6" t="s">
        <v>86</v>
      </c>
      <c r="R20" s="6" t="s">
        <v>87</v>
      </c>
      <c r="S20" s="6" t="s">
        <v>87</v>
      </c>
      <c r="T20" s="6">
        <v>5</v>
      </c>
      <c r="U20" s="6">
        <v>2</v>
      </c>
      <c r="V20" s="6">
        <v>10</v>
      </c>
      <c r="W20" s="6" t="str">
        <f t="shared" si="0"/>
        <v>High</v>
      </c>
      <c r="X20" s="6">
        <v>80</v>
      </c>
      <c r="Y20" s="6">
        <v>2</v>
      </c>
      <c r="Z20" s="6" t="str">
        <f t="shared" si="1"/>
        <v>Low</v>
      </c>
      <c r="AA20" s="6" t="s">
        <v>88</v>
      </c>
      <c r="AB20" s="6" t="s">
        <v>87</v>
      </c>
      <c r="AC20" s="6" t="s">
        <v>83</v>
      </c>
      <c r="AD20" s="6" t="s">
        <v>89</v>
      </c>
      <c r="AE20" s="6" t="s">
        <v>90</v>
      </c>
      <c r="AF20" s="6" t="s">
        <v>91</v>
      </c>
      <c r="AG20" s="6" t="s">
        <v>92</v>
      </c>
      <c r="AH20" s="6" t="s">
        <v>186</v>
      </c>
      <c r="AI20" s="6" t="s">
        <v>94</v>
      </c>
      <c r="AJ20" s="6" t="s">
        <v>95</v>
      </c>
      <c r="AK20" s="6" t="s">
        <v>96</v>
      </c>
    </row>
    <row r="21" spans="1:37" ht="82.05" customHeight="1" x14ac:dyDescent="0.3">
      <c r="A21" s="6" t="s">
        <v>187</v>
      </c>
      <c r="B21" s="6" t="s">
        <v>188</v>
      </c>
      <c r="C21" s="6" t="s">
        <v>189</v>
      </c>
      <c r="D21" s="6" t="s">
        <v>106</v>
      </c>
      <c r="E21" s="6" t="s">
        <v>39</v>
      </c>
      <c r="F21" s="6" t="s">
        <v>77</v>
      </c>
      <c r="G21" s="6" t="s">
        <v>153</v>
      </c>
      <c r="H21" s="6" t="s">
        <v>80</v>
      </c>
      <c r="I21" s="6" t="s">
        <v>80</v>
      </c>
      <c r="J21" s="6" t="s">
        <v>81</v>
      </c>
      <c r="K21" s="6" t="s">
        <v>82</v>
      </c>
      <c r="L21" s="6" t="s">
        <v>83</v>
      </c>
      <c r="M21" s="6" t="s">
        <v>84</v>
      </c>
      <c r="N21" s="6" t="s">
        <v>87</v>
      </c>
      <c r="O21" s="6" t="s">
        <v>85</v>
      </c>
      <c r="P21" s="6" t="s">
        <v>83</v>
      </c>
      <c r="Q21" s="6" t="s">
        <v>87</v>
      </c>
      <c r="R21" s="6" t="s">
        <v>87</v>
      </c>
      <c r="S21" s="6" t="s">
        <v>87</v>
      </c>
      <c r="T21" s="6">
        <v>4</v>
      </c>
      <c r="U21" s="6">
        <v>4</v>
      </c>
      <c r="V21" s="6">
        <v>16</v>
      </c>
      <c r="W21" s="6" t="str">
        <f t="shared" si="0"/>
        <v>High</v>
      </c>
      <c r="X21" s="6">
        <v>80</v>
      </c>
      <c r="Y21" s="6">
        <v>3</v>
      </c>
      <c r="Z21" s="6" t="str">
        <f t="shared" si="1"/>
        <v>Low</v>
      </c>
      <c r="AA21" s="6" t="s">
        <v>88</v>
      </c>
      <c r="AB21" s="6" t="s">
        <v>87</v>
      </c>
      <c r="AC21" s="6" t="s">
        <v>83</v>
      </c>
      <c r="AD21" s="6" t="s">
        <v>89</v>
      </c>
      <c r="AE21" s="6" t="s">
        <v>90</v>
      </c>
      <c r="AF21" s="6" t="s">
        <v>91</v>
      </c>
      <c r="AG21" s="6" t="s">
        <v>92</v>
      </c>
      <c r="AH21" s="6" t="s">
        <v>190</v>
      </c>
      <c r="AI21" s="6" t="s">
        <v>94</v>
      </c>
      <c r="AJ21" s="6" t="s">
        <v>95</v>
      </c>
      <c r="AK21" s="6" t="s">
        <v>96</v>
      </c>
    </row>
    <row r="22" spans="1:37" ht="82.05" customHeight="1" x14ac:dyDescent="0.3">
      <c r="A22" s="6" t="s">
        <v>191</v>
      </c>
      <c r="B22" s="6" t="s">
        <v>192</v>
      </c>
      <c r="C22" s="6" t="s">
        <v>193</v>
      </c>
      <c r="D22" s="6" t="s">
        <v>129</v>
      </c>
      <c r="E22" s="6" t="s">
        <v>39</v>
      </c>
      <c r="F22" s="6" t="s">
        <v>77</v>
      </c>
      <c r="G22" s="6" t="s">
        <v>153</v>
      </c>
      <c r="H22" s="6" t="s">
        <v>87</v>
      </c>
      <c r="I22" s="6" t="s">
        <v>87</v>
      </c>
      <c r="J22" s="6" t="s">
        <v>81</v>
      </c>
      <c r="K22" s="6" t="s">
        <v>82</v>
      </c>
      <c r="L22" s="6" t="s">
        <v>83</v>
      </c>
      <c r="M22" s="6" t="s">
        <v>84</v>
      </c>
      <c r="N22" s="6" t="s">
        <v>86</v>
      </c>
      <c r="O22" s="6" t="s">
        <v>85</v>
      </c>
      <c r="P22" s="6" t="s">
        <v>83</v>
      </c>
      <c r="Q22" s="6" t="s">
        <v>86</v>
      </c>
      <c r="R22" s="6" t="s">
        <v>87</v>
      </c>
      <c r="S22" s="6" t="s">
        <v>87</v>
      </c>
      <c r="T22" s="6">
        <v>3</v>
      </c>
      <c r="U22" s="6">
        <v>5</v>
      </c>
      <c r="V22" s="6">
        <v>15</v>
      </c>
      <c r="W22" s="6" t="str">
        <f t="shared" si="0"/>
        <v>High</v>
      </c>
      <c r="X22" s="6">
        <v>80</v>
      </c>
      <c r="Y22" s="6">
        <v>3</v>
      </c>
      <c r="Z22" s="6" t="str">
        <f t="shared" si="1"/>
        <v>Low</v>
      </c>
      <c r="AA22" s="6" t="s">
        <v>88</v>
      </c>
      <c r="AB22" s="6" t="s">
        <v>87</v>
      </c>
      <c r="AC22" s="6" t="s">
        <v>83</v>
      </c>
      <c r="AD22" s="6" t="s">
        <v>89</v>
      </c>
      <c r="AE22" s="6" t="s">
        <v>90</v>
      </c>
      <c r="AF22" s="6" t="s">
        <v>91</v>
      </c>
      <c r="AG22" s="6" t="s">
        <v>92</v>
      </c>
      <c r="AH22" s="6" t="s">
        <v>194</v>
      </c>
      <c r="AI22" s="6" t="s">
        <v>94</v>
      </c>
      <c r="AJ22" s="6" t="s">
        <v>95</v>
      </c>
      <c r="AK22" s="6" t="s">
        <v>96</v>
      </c>
    </row>
    <row r="23" spans="1:37" ht="82.05" customHeight="1" x14ac:dyDescent="0.3">
      <c r="A23" s="6" t="s">
        <v>195</v>
      </c>
      <c r="B23" s="6" t="s">
        <v>196</v>
      </c>
      <c r="C23" s="6" t="s">
        <v>197</v>
      </c>
      <c r="D23" s="6" t="s">
        <v>106</v>
      </c>
      <c r="E23" s="6" t="s">
        <v>39</v>
      </c>
      <c r="F23" s="6" t="s">
        <v>77</v>
      </c>
      <c r="G23" s="6" t="s">
        <v>153</v>
      </c>
      <c r="H23" s="6" t="s">
        <v>80</v>
      </c>
      <c r="I23" s="6" t="s">
        <v>80</v>
      </c>
      <c r="J23" s="6" t="s">
        <v>81</v>
      </c>
      <c r="K23" s="6" t="s">
        <v>82</v>
      </c>
      <c r="L23" s="6" t="s">
        <v>83</v>
      </c>
      <c r="M23" s="6" t="s">
        <v>84</v>
      </c>
      <c r="N23" s="6" t="s">
        <v>87</v>
      </c>
      <c r="O23" s="6" t="s">
        <v>85</v>
      </c>
      <c r="P23" s="6" t="s">
        <v>83</v>
      </c>
      <c r="Q23" s="6" t="s">
        <v>86</v>
      </c>
      <c r="R23" s="6" t="s">
        <v>87</v>
      </c>
      <c r="S23" s="6" t="s">
        <v>87</v>
      </c>
      <c r="T23" s="6">
        <v>4</v>
      </c>
      <c r="U23" s="6">
        <v>3</v>
      </c>
      <c r="V23" s="6">
        <v>12</v>
      </c>
      <c r="W23" s="6" t="str">
        <f t="shared" si="0"/>
        <v>High</v>
      </c>
      <c r="X23" s="6">
        <v>80</v>
      </c>
      <c r="Y23" s="6">
        <v>2</v>
      </c>
      <c r="Z23" s="6" t="str">
        <f t="shared" si="1"/>
        <v>Low</v>
      </c>
      <c r="AA23" s="6" t="s">
        <v>88</v>
      </c>
      <c r="AB23" s="6" t="s">
        <v>87</v>
      </c>
      <c r="AC23" s="6" t="s">
        <v>83</v>
      </c>
      <c r="AD23" s="6" t="s">
        <v>89</v>
      </c>
      <c r="AE23" s="6" t="s">
        <v>90</v>
      </c>
      <c r="AF23" s="6" t="s">
        <v>91</v>
      </c>
      <c r="AG23" s="6" t="s">
        <v>92</v>
      </c>
      <c r="AH23" s="6" t="s">
        <v>198</v>
      </c>
      <c r="AI23" s="6" t="s">
        <v>94</v>
      </c>
      <c r="AJ23" s="6" t="s">
        <v>95</v>
      </c>
      <c r="AK23" s="6" t="s">
        <v>96</v>
      </c>
    </row>
    <row r="24" spans="1:37" ht="82.05" customHeight="1" x14ac:dyDescent="0.3">
      <c r="A24" s="6" t="s">
        <v>199</v>
      </c>
      <c r="B24" s="6" t="s">
        <v>200</v>
      </c>
      <c r="C24" s="6" t="s">
        <v>201</v>
      </c>
      <c r="D24" s="6" t="s">
        <v>75</v>
      </c>
      <c r="E24" s="6" t="s">
        <v>39</v>
      </c>
      <c r="F24" s="6" t="s">
        <v>77</v>
      </c>
      <c r="G24" s="6" t="s">
        <v>153</v>
      </c>
      <c r="H24" s="6" t="s">
        <v>79</v>
      </c>
      <c r="I24" s="6" t="s">
        <v>80</v>
      </c>
      <c r="J24" s="6" t="s">
        <v>81</v>
      </c>
      <c r="K24" s="6" t="s">
        <v>82</v>
      </c>
      <c r="L24" s="6" t="s">
        <v>83</v>
      </c>
      <c r="M24" s="6" t="s">
        <v>84</v>
      </c>
      <c r="N24" s="6" t="s">
        <v>80</v>
      </c>
      <c r="O24" s="6" t="s">
        <v>85</v>
      </c>
      <c r="P24" s="6" t="s">
        <v>83</v>
      </c>
      <c r="Q24" s="6" t="s">
        <v>86</v>
      </c>
      <c r="R24" s="6" t="s">
        <v>87</v>
      </c>
      <c r="S24" s="6" t="s">
        <v>87</v>
      </c>
      <c r="T24" s="6">
        <v>5</v>
      </c>
      <c r="U24" s="6">
        <v>2</v>
      </c>
      <c r="V24" s="6">
        <v>10</v>
      </c>
      <c r="W24" s="6" t="str">
        <f t="shared" si="0"/>
        <v>High</v>
      </c>
      <c r="X24" s="6">
        <v>80</v>
      </c>
      <c r="Y24" s="6">
        <v>2</v>
      </c>
      <c r="Z24" s="6" t="str">
        <f t="shared" si="1"/>
        <v>Low</v>
      </c>
      <c r="AA24" s="6" t="s">
        <v>88</v>
      </c>
      <c r="AB24" s="6" t="s">
        <v>87</v>
      </c>
      <c r="AC24" s="6" t="s">
        <v>83</v>
      </c>
      <c r="AD24" s="6" t="s">
        <v>89</v>
      </c>
      <c r="AE24" s="6" t="s">
        <v>90</v>
      </c>
      <c r="AF24" s="6" t="s">
        <v>91</v>
      </c>
      <c r="AG24" s="6" t="s">
        <v>92</v>
      </c>
      <c r="AH24" s="6" t="s">
        <v>202</v>
      </c>
      <c r="AI24" s="6" t="s">
        <v>94</v>
      </c>
      <c r="AJ24" s="6" t="s">
        <v>95</v>
      </c>
      <c r="AK24" s="6" t="s">
        <v>96</v>
      </c>
    </row>
    <row r="25" spans="1:37" ht="82.05" customHeight="1" x14ac:dyDescent="0.3">
      <c r="A25" s="6" t="s">
        <v>203</v>
      </c>
      <c r="B25" s="6" t="s">
        <v>204</v>
      </c>
      <c r="C25" s="6" t="s">
        <v>205</v>
      </c>
      <c r="D25" s="6" t="s">
        <v>129</v>
      </c>
      <c r="E25" s="6" t="s">
        <v>39</v>
      </c>
      <c r="F25" s="6" t="s">
        <v>77</v>
      </c>
      <c r="G25" s="6" t="s">
        <v>153</v>
      </c>
      <c r="H25" s="6" t="s">
        <v>87</v>
      </c>
      <c r="I25" s="6" t="s">
        <v>87</v>
      </c>
      <c r="J25" s="6" t="s">
        <v>81</v>
      </c>
      <c r="K25" s="6" t="s">
        <v>82</v>
      </c>
      <c r="L25" s="6" t="s">
        <v>83</v>
      </c>
      <c r="M25" s="6" t="s">
        <v>84</v>
      </c>
      <c r="N25" s="6" t="s">
        <v>86</v>
      </c>
      <c r="O25" s="6" t="s">
        <v>85</v>
      </c>
      <c r="P25" s="6" t="s">
        <v>83</v>
      </c>
      <c r="Q25" s="6" t="s">
        <v>86</v>
      </c>
      <c r="R25" s="6" t="s">
        <v>87</v>
      </c>
      <c r="S25" s="6" t="s">
        <v>87</v>
      </c>
      <c r="T25" s="6">
        <v>3</v>
      </c>
      <c r="U25" s="6">
        <v>4</v>
      </c>
      <c r="V25" s="6">
        <v>12</v>
      </c>
      <c r="W25" s="6" t="str">
        <f t="shared" si="0"/>
        <v>High</v>
      </c>
      <c r="X25" s="6">
        <v>60</v>
      </c>
      <c r="Y25" s="6">
        <v>5</v>
      </c>
      <c r="Z25" s="6" t="str">
        <f t="shared" si="1"/>
        <v>Medium</v>
      </c>
      <c r="AA25" s="6" t="s">
        <v>88</v>
      </c>
      <c r="AB25" s="6" t="s">
        <v>87</v>
      </c>
      <c r="AC25" s="6" t="s">
        <v>83</v>
      </c>
      <c r="AD25" s="6" t="s">
        <v>89</v>
      </c>
      <c r="AE25" s="6" t="s">
        <v>90</v>
      </c>
      <c r="AF25" s="6" t="s">
        <v>91</v>
      </c>
      <c r="AG25" s="6" t="s">
        <v>92</v>
      </c>
      <c r="AH25" s="6" t="s">
        <v>206</v>
      </c>
      <c r="AI25" s="6" t="s">
        <v>94</v>
      </c>
      <c r="AJ25" s="6" t="s">
        <v>95</v>
      </c>
      <c r="AK25" s="6" t="s">
        <v>96</v>
      </c>
    </row>
    <row r="26" spans="1:37" ht="82.05" customHeight="1" x14ac:dyDescent="0.3">
      <c r="A26" s="6" t="s">
        <v>207</v>
      </c>
      <c r="B26" s="6" t="s">
        <v>208</v>
      </c>
      <c r="C26" s="6" t="s">
        <v>209</v>
      </c>
      <c r="D26" s="6" t="s">
        <v>75</v>
      </c>
      <c r="E26" s="6" t="s">
        <v>39</v>
      </c>
      <c r="F26" s="6" t="s">
        <v>77</v>
      </c>
      <c r="G26" s="6" t="s">
        <v>153</v>
      </c>
      <c r="H26" s="6" t="s">
        <v>79</v>
      </c>
      <c r="I26" s="6" t="s">
        <v>80</v>
      </c>
      <c r="J26" s="6" t="s">
        <v>81</v>
      </c>
      <c r="K26" s="6" t="s">
        <v>82</v>
      </c>
      <c r="L26" s="6" t="s">
        <v>83</v>
      </c>
      <c r="M26" s="6" t="s">
        <v>84</v>
      </c>
      <c r="N26" s="6" t="s">
        <v>80</v>
      </c>
      <c r="O26" s="6" t="s">
        <v>85</v>
      </c>
      <c r="P26" s="6" t="s">
        <v>83</v>
      </c>
      <c r="Q26" s="6" t="s">
        <v>87</v>
      </c>
      <c r="R26" s="6" t="s">
        <v>87</v>
      </c>
      <c r="S26" s="6" t="s">
        <v>87</v>
      </c>
      <c r="T26" s="6">
        <v>5</v>
      </c>
      <c r="U26" s="6">
        <v>2</v>
      </c>
      <c r="V26" s="6">
        <v>10</v>
      </c>
      <c r="W26" s="6" t="str">
        <f t="shared" si="0"/>
        <v>High</v>
      </c>
      <c r="X26" s="6">
        <v>80</v>
      </c>
      <c r="Y26" s="6">
        <v>2</v>
      </c>
      <c r="Z26" s="6" t="str">
        <f t="shared" si="1"/>
        <v>Low</v>
      </c>
      <c r="AA26" s="6" t="s">
        <v>88</v>
      </c>
      <c r="AB26" s="6" t="s">
        <v>87</v>
      </c>
      <c r="AC26" s="6" t="s">
        <v>83</v>
      </c>
      <c r="AD26" s="6" t="s">
        <v>89</v>
      </c>
      <c r="AE26" s="6" t="s">
        <v>90</v>
      </c>
      <c r="AF26" s="6" t="s">
        <v>91</v>
      </c>
      <c r="AG26" s="6" t="s">
        <v>92</v>
      </c>
      <c r="AH26" s="6" t="s">
        <v>210</v>
      </c>
      <c r="AI26" s="6" t="s">
        <v>94</v>
      </c>
      <c r="AJ26" s="6" t="s">
        <v>95</v>
      </c>
      <c r="AK26" s="6" t="s">
        <v>96</v>
      </c>
    </row>
    <row r="27" spans="1:37" ht="82.05" customHeight="1" x14ac:dyDescent="0.3">
      <c r="A27" s="6" t="s">
        <v>211</v>
      </c>
      <c r="B27" s="6" t="s">
        <v>212</v>
      </c>
      <c r="C27" s="6" t="s">
        <v>213</v>
      </c>
      <c r="D27" s="6" t="s">
        <v>106</v>
      </c>
      <c r="E27" s="6" t="s">
        <v>39</v>
      </c>
      <c r="F27" s="6" t="s">
        <v>77</v>
      </c>
      <c r="G27" s="6" t="s">
        <v>153</v>
      </c>
      <c r="H27" s="6" t="s">
        <v>80</v>
      </c>
      <c r="I27" s="6" t="s">
        <v>80</v>
      </c>
      <c r="J27" s="6" t="s">
        <v>81</v>
      </c>
      <c r="K27" s="6" t="s">
        <v>82</v>
      </c>
      <c r="L27" s="6" t="s">
        <v>83</v>
      </c>
      <c r="M27" s="6" t="s">
        <v>84</v>
      </c>
      <c r="N27" s="6" t="s">
        <v>87</v>
      </c>
      <c r="O27" s="6" t="s">
        <v>85</v>
      </c>
      <c r="P27" s="6" t="s">
        <v>83</v>
      </c>
      <c r="Q27" s="6" t="s">
        <v>86</v>
      </c>
      <c r="R27" s="6" t="s">
        <v>87</v>
      </c>
      <c r="S27" s="6" t="s">
        <v>87</v>
      </c>
      <c r="T27" s="6">
        <v>4</v>
      </c>
      <c r="U27" s="6">
        <v>3</v>
      </c>
      <c r="V27" s="6">
        <v>12</v>
      </c>
      <c r="W27" s="6" t="str">
        <f t="shared" si="0"/>
        <v>High</v>
      </c>
      <c r="X27" s="6">
        <v>80</v>
      </c>
      <c r="Y27" s="6">
        <v>2</v>
      </c>
      <c r="Z27" s="6" t="str">
        <f t="shared" si="1"/>
        <v>Low</v>
      </c>
      <c r="AA27" s="6" t="s">
        <v>88</v>
      </c>
      <c r="AB27" s="6" t="s">
        <v>87</v>
      </c>
      <c r="AC27" s="6" t="s">
        <v>83</v>
      </c>
      <c r="AD27" s="6" t="s">
        <v>89</v>
      </c>
      <c r="AE27" s="6" t="s">
        <v>90</v>
      </c>
      <c r="AF27" s="6" t="s">
        <v>91</v>
      </c>
      <c r="AG27" s="6" t="s">
        <v>92</v>
      </c>
      <c r="AH27" s="6" t="s">
        <v>214</v>
      </c>
      <c r="AI27" s="6" t="s">
        <v>94</v>
      </c>
      <c r="AJ27" s="6" t="s">
        <v>95</v>
      </c>
      <c r="AK27" s="6" t="s">
        <v>96</v>
      </c>
    </row>
    <row r="28" spans="1:37" ht="82.05" customHeight="1" x14ac:dyDescent="0.3">
      <c r="A28" s="6" t="s">
        <v>215</v>
      </c>
      <c r="B28" s="6" t="s">
        <v>216</v>
      </c>
      <c r="C28" s="6" t="s">
        <v>217</v>
      </c>
      <c r="D28" s="6" t="s">
        <v>129</v>
      </c>
      <c r="E28" s="6" t="s">
        <v>39</v>
      </c>
      <c r="F28" s="6" t="s">
        <v>77</v>
      </c>
      <c r="G28" s="6" t="s">
        <v>153</v>
      </c>
      <c r="H28" s="6" t="s">
        <v>87</v>
      </c>
      <c r="I28" s="6" t="s">
        <v>87</v>
      </c>
      <c r="J28" s="6" t="s">
        <v>81</v>
      </c>
      <c r="K28" s="6" t="s">
        <v>82</v>
      </c>
      <c r="L28" s="6" t="s">
        <v>83</v>
      </c>
      <c r="M28" s="6" t="s">
        <v>84</v>
      </c>
      <c r="N28" s="6" t="s">
        <v>86</v>
      </c>
      <c r="O28" s="6" t="s">
        <v>85</v>
      </c>
      <c r="P28" s="6" t="s">
        <v>83</v>
      </c>
      <c r="Q28" s="6" t="s">
        <v>86</v>
      </c>
      <c r="R28" s="6" t="s">
        <v>87</v>
      </c>
      <c r="S28" s="6" t="s">
        <v>87</v>
      </c>
      <c r="T28" s="6">
        <v>3</v>
      </c>
      <c r="U28" s="6">
        <v>2</v>
      </c>
      <c r="V28" s="6">
        <v>6</v>
      </c>
      <c r="W28" s="6" t="str">
        <f t="shared" si="0"/>
        <v>Medium</v>
      </c>
      <c r="X28" s="6">
        <v>80</v>
      </c>
      <c r="Y28" s="6">
        <v>1</v>
      </c>
      <c r="Z28" s="6" t="str">
        <f t="shared" si="1"/>
        <v>Low</v>
      </c>
      <c r="AA28" s="6" t="s">
        <v>88</v>
      </c>
      <c r="AB28" s="6" t="s">
        <v>87</v>
      </c>
      <c r="AC28" s="6" t="s">
        <v>83</v>
      </c>
      <c r="AD28" s="6" t="s">
        <v>89</v>
      </c>
      <c r="AE28" s="6" t="s">
        <v>90</v>
      </c>
      <c r="AF28" s="6" t="s">
        <v>91</v>
      </c>
      <c r="AG28" s="6" t="s">
        <v>92</v>
      </c>
      <c r="AH28" s="6" t="s">
        <v>218</v>
      </c>
      <c r="AI28" s="6" t="s">
        <v>94</v>
      </c>
      <c r="AJ28" s="6" t="s">
        <v>95</v>
      </c>
      <c r="AK28" s="6" t="s">
        <v>96</v>
      </c>
    </row>
    <row r="29" spans="1:37" ht="82.05" customHeight="1" x14ac:dyDescent="0.3">
      <c r="A29" s="6" t="s">
        <v>219</v>
      </c>
      <c r="B29" s="6" t="s">
        <v>220</v>
      </c>
      <c r="C29" s="6" t="s">
        <v>221</v>
      </c>
      <c r="D29" s="6" t="s">
        <v>106</v>
      </c>
      <c r="E29" s="6" t="s">
        <v>39</v>
      </c>
      <c r="F29" s="6" t="s">
        <v>77</v>
      </c>
      <c r="G29" s="6" t="s">
        <v>153</v>
      </c>
      <c r="H29" s="6" t="s">
        <v>80</v>
      </c>
      <c r="I29" s="6" t="s">
        <v>80</v>
      </c>
      <c r="J29" s="6" t="s">
        <v>81</v>
      </c>
      <c r="K29" s="6" t="s">
        <v>82</v>
      </c>
      <c r="L29" s="6" t="s">
        <v>83</v>
      </c>
      <c r="M29" s="6" t="s">
        <v>84</v>
      </c>
      <c r="N29" s="6" t="s">
        <v>87</v>
      </c>
      <c r="O29" s="6" t="s">
        <v>85</v>
      </c>
      <c r="P29" s="6" t="s">
        <v>83</v>
      </c>
      <c r="Q29" s="6" t="s">
        <v>86</v>
      </c>
      <c r="R29" s="6" t="s">
        <v>87</v>
      </c>
      <c r="S29" s="6" t="s">
        <v>87</v>
      </c>
      <c r="T29" s="6">
        <v>4</v>
      </c>
      <c r="U29" s="6">
        <v>5</v>
      </c>
      <c r="V29" s="6">
        <v>20</v>
      </c>
      <c r="W29" s="6" t="str">
        <f t="shared" si="0"/>
        <v>Critical</v>
      </c>
      <c r="X29" s="6">
        <v>80</v>
      </c>
      <c r="Y29" s="6">
        <v>4</v>
      </c>
      <c r="Z29" s="6" t="str">
        <f t="shared" si="1"/>
        <v>Low</v>
      </c>
      <c r="AA29" s="6" t="s">
        <v>88</v>
      </c>
      <c r="AB29" s="6" t="s">
        <v>87</v>
      </c>
      <c r="AC29" s="6" t="s">
        <v>83</v>
      </c>
      <c r="AD29" s="6" t="s">
        <v>89</v>
      </c>
      <c r="AE29" s="6" t="s">
        <v>90</v>
      </c>
      <c r="AF29" s="6" t="s">
        <v>91</v>
      </c>
      <c r="AG29" s="6" t="s">
        <v>92</v>
      </c>
      <c r="AH29" s="6" t="s">
        <v>222</v>
      </c>
      <c r="AI29" s="6" t="s">
        <v>94</v>
      </c>
      <c r="AJ29" s="6" t="s">
        <v>95</v>
      </c>
      <c r="AK29" s="6" t="s">
        <v>96</v>
      </c>
    </row>
    <row r="30" spans="1:37" ht="82.05" customHeight="1" x14ac:dyDescent="0.3">
      <c r="A30" s="6" t="s">
        <v>223</v>
      </c>
      <c r="B30" s="6" t="s">
        <v>224</v>
      </c>
      <c r="C30" s="6" t="s">
        <v>225</v>
      </c>
      <c r="D30" s="6" t="s">
        <v>75</v>
      </c>
      <c r="E30" s="6" t="s">
        <v>39</v>
      </c>
      <c r="F30" s="6" t="s">
        <v>77</v>
      </c>
      <c r="G30" s="6" t="s">
        <v>153</v>
      </c>
      <c r="H30" s="6" t="s">
        <v>79</v>
      </c>
      <c r="I30" s="6" t="s">
        <v>80</v>
      </c>
      <c r="J30" s="6" t="s">
        <v>81</v>
      </c>
      <c r="K30" s="6" t="s">
        <v>82</v>
      </c>
      <c r="L30" s="6" t="s">
        <v>83</v>
      </c>
      <c r="M30" s="6" t="s">
        <v>84</v>
      </c>
      <c r="N30" s="6" t="s">
        <v>80</v>
      </c>
      <c r="O30" s="6" t="s">
        <v>85</v>
      </c>
      <c r="P30" s="6" t="s">
        <v>83</v>
      </c>
      <c r="Q30" s="6" t="s">
        <v>86</v>
      </c>
      <c r="R30" s="6" t="s">
        <v>87</v>
      </c>
      <c r="S30" s="6" t="s">
        <v>87</v>
      </c>
      <c r="T30" s="6">
        <v>5</v>
      </c>
      <c r="U30" s="6">
        <v>2</v>
      </c>
      <c r="V30" s="6">
        <v>10</v>
      </c>
      <c r="W30" s="6" t="str">
        <f t="shared" si="0"/>
        <v>High</v>
      </c>
      <c r="X30" s="6">
        <v>80</v>
      </c>
      <c r="Y30" s="6">
        <v>2</v>
      </c>
      <c r="Z30" s="6" t="str">
        <f t="shared" si="1"/>
        <v>Low</v>
      </c>
      <c r="AA30" s="6" t="s">
        <v>88</v>
      </c>
      <c r="AB30" s="6" t="s">
        <v>87</v>
      </c>
      <c r="AC30" s="6" t="s">
        <v>83</v>
      </c>
      <c r="AD30" s="6" t="s">
        <v>89</v>
      </c>
      <c r="AE30" s="6" t="s">
        <v>90</v>
      </c>
      <c r="AF30" s="6" t="s">
        <v>91</v>
      </c>
      <c r="AG30" s="6" t="s">
        <v>92</v>
      </c>
      <c r="AH30" s="6" t="s">
        <v>226</v>
      </c>
      <c r="AI30" s="6" t="s">
        <v>94</v>
      </c>
      <c r="AJ30" s="6" t="s">
        <v>95</v>
      </c>
      <c r="AK30" s="6" t="s">
        <v>96</v>
      </c>
    </row>
    <row r="31" spans="1:37" ht="82.05" customHeight="1" x14ac:dyDescent="0.3">
      <c r="A31" s="6" t="s">
        <v>227</v>
      </c>
      <c r="B31" s="6" t="s">
        <v>228</v>
      </c>
      <c r="C31" s="6" t="s">
        <v>229</v>
      </c>
      <c r="D31" s="6" t="s">
        <v>129</v>
      </c>
      <c r="E31" s="6" t="s">
        <v>39</v>
      </c>
      <c r="F31" s="6" t="s">
        <v>77</v>
      </c>
      <c r="G31" s="6" t="s">
        <v>153</v>
      </c>
      <c r="H31" s="6" t="s">
        <v>87</v>
      </c>
      <c r="I31" s="6" t="s">
        <v>87</v>
      </c>
      <c r="J31" s="6" t="s">
        <v>81</v>
      </c>
      <c r="K31" s="6" t="s">
        <v>82</v>
      </c>
      <c r="L31" s="6" t="s">
        <v>83</v>
      </c>
      <c r="M31" s="6" t="s">
        <v>84</v>
      </c>
      <c r="N31" s="6" t="s">
        <v>86</v>
      </c>
      <c r="O31" s="6" t="s">
        <v>85</v>
      </c>
      <c r="P31" s="6" t="s">
        <v>83</v>
      </c>
      <c r="Q31" s="6" t="s">
        <v>87</v>
      </c>
      <c r="R31" s="6" t="s">
        <v>87</v>
      </c>
      <c r="S31" s="6" t="s">
        <v>87</v>
      </c>
      <c r="T31" s="6">
        <v>3</v>
      </c>
      <c r="U31" s="6">
        <v>3</v>
      </c>
      <c r="V31" s="6">
        <v>9</v>
      </c>
      <c r="W31" s="6" t="str">
        <f t="shared" si="0"/>
        <v>Medium</v>
      </c>
      <c r="X31" s="6">
        <v>60</v>
      </c>
      <c r="Y31" s="6">
        <v>4</v>
      </c>
      <c r="Z31" s="6" t="str">
        <f t="shared" si="1"/>
        <v>Low</v>
      </c>
      <c r="AA31" s="6" t="s">
        <v>88</v>
      </c>
      <c r="AB31" s="6" t="s">
        <v>87</v>
      </c>
      <c r="AC31" s="6" t="s">
        <v>83</v>
      </c>
      <c r="AD31" s="6" t="s">
        <v>89</v>
      </c>
      <c r="AE31" s="6" t="s">
        <v>90</v>
      </c>
      <c r="AF31" s="6" t="s">
        <v>91</v>
      </c>
      <c r="AG31" s="6" t="s">
        <v>92</v>
      </c>
      <c r="AH31" s="6" t="s">
        <v>230</v>
      </c>
      <c r="AI31" s="6" t="s">
        <v>94</v>
      </c>
      <c r="AJ31" s="6" t="s">
        <v>95</v>
      </c>
      <c r="AK31" s="6" t="s">
        <v>96</v>
      </c>
    </row>
  </sheetData>
  <conditionalFormatting sqref="W2:W31">
    <cfRule type="cellIs" dxfId="70" priority="1" operator="equal">
      <formula>"Critical"</formula>
    </cfRule>
    <cfRule type="cellIs" dxfId="69" priority="2" operator="equal">
      <formula>"High"</formula>
    </cfRule>
    <cfRule type="cellIs" dxfId="68" priority="3" operator="equal">
      <formula>"Medium"</formula>
    </cfRule>
    <cfRule type="cellIs" dxfId="67" priority="4" operator="equal">
      <formula>"Low"</formula>
    </cfRule>
  </conditionalFormatting>
  <conditionalFormatting sqref="Z2:Z31">
    <cfRule type="cellIs" dxfId="66" priority="5" operator="equal">
      <formula>"Critical"</formula>
    </cfRule>
    <cfRule type="cellIs" dxfId="65" priority="6" operator="equal">
      <formula>"High"</formula>
    </cfRule>
    <cfRule type="cellIs" dxfId="64" priority="7" operator="equal">
      <formula>"Medium"</formula>
    </cfRule>
    <cfRule type="cellIs" dxfId="63" priority="8" operator="equal">
      <formula>"Low"</formula>
    </cfRule>
  </conditionalFormatting>
  <dataValidations count="13">
    <dataValidation type="list" allowBlank="1" sqref="D2:D31" xr:uid="{00000000-0002-0000-0200-000000000000}">
      <formula1>"Tier 1,Tier 2,Tier 3,Tier 4"</formula1>
    </dataValidation>
    <dataValidation type="list" allowBlank="1" sqref="H2:H31 Q2:S31" xr:uid="{00000000-0002-0000-0200-000001000000}">
      <formula1>"Critical,High,Medium,Low"</formula1>
    </dataValidation>
    <dataValidation type="list" allowBlank="1" sqref="I2:I31" xr:uid="{00000000-0002-0000-0200-000002000000}">
      <formula1>"High,Medium,Low,Public"</formula1>
    </dataValidation>
    <dataValidation type="list" allowBlank="1" sqref="K2:K31" xr:uid="{00000000-0002-0000-0200-000003000000}">
      <formula1>"None,Application / API,Network,Application / API + Network"</formula1>
    </dataValidation>
    <dataValidation type="list" allowBlank="1" sqref="L2:L31 AC2:AC31 P2:P31" xr:uid="{00000000-0002-0000-0200-000004000000}">
      <formula1>"Yes,No"</formula1>
    </dataValidation>
    <dataValidation type="list" allowBlank="1" sqref="M2:M31" xr:uid="{00000000-0002-0000-0200-000005000000}">
      <formula1>"Critical,High,Medium,Low,To Be Assessed"</formula1>
    </dataValidation>
    <dataValidation type="list" allowBlank="1" sqref="N2:N31" xr:uid="{00000000-0002-0000-0200-000006000000}">
      <formula1>"High,Medium,Low"</formula1>
    </dataValidation>
    <dataValidation type="list" allowBlank="1" sqref="O2:O31" xr:uid="{00000000-0002-0000-0200-000007000000}">
      <formula1>"India,Global,Multi-Region,To Be Assessed"</formula1>
    </dataValidation>
    <dataValidation type="list" allowBlank="1" sqref="T2:U31" xr:uid="{00000000-0002-0000-0200-00000C000000}">
      <formula1>"1,2,3,4,5"</formula1>
    </dataValidation>
    <dataValidation type="list" allowBlank="1" sqref="X2:X31" xr:uid="{00000000-0002-0000-0200-00000E000000}">
      <formula1>"0,20,40,60,80,100"</formula1>
    </dataValidation>
    <dataValidation type="list" allowBlank="1" sqref="AA2:AA31" xr:uid="{00000000-0002-0000-0200-00000F000000}">
      <formula1>"Mitigate,Transfer,Avoid,Accept"</formula1>
    </dataValidation>
    <dataValidation type="list" allowBlank="1" sqref="AB2:AB31" xr:uid="{00000000-0002-0000-0200-000010000000}">
      <formula1>"Low,Medium,High,Critical"</formula1>
    </dataValidation>
    <dataValidation type="list" allowBlank="1" sqref="AD2:AD31" xr:uid="{00000000-0002-0000-0200-000012000000}">
      <formula1>"Draft,Assessed,Pending Approval,Approved,Reassessment Required,Closed"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C10"/>
  <sheetViews>
    <sheetView workbookViewId="0">
      <selection activeCell="B23" sqref="B23"/>
    </sheetView>
  </sheetViews>
  <sheetFormatPr defaultRowHeight="14.4" x14ac:dyDescent="0.3"/>
  <cols>
    <col min="1" max="1" width="28" customWidth="1"/>
    <col min="2" max="2" width="75" customWidth="1"/>
    <col min="3" max="3" width="80" customWidth="1"/>
  </cols>
  <sheetData>
    <row r="1" spans="1:3" ht="46.05" customHeight="1" x14ac:dyDescent="0.3">
      <c r="A1" s="5" t="s">
        <v>231</v>
      </c>
      <c r="B1" s="5" t="s">
        <v>232</v>
      </c>
      <c r="C1" s="5" t="s">
        <v>233</v>
      </c>
    </row>
    <row r="2" spans="1:3" x14ac:dyDescent="0.3">
      <c r="A2" s="4" t="s">
        <v>234</v>
      </c>
      <c r="B2" s="4" t="s">
        <v>235</v>
      </c>
      <c r="C2" s="4" t="s">
        <v>236</v>
      </c>
    </row>
    <row r="3" spans="1:3" x14ac:dyDescent="0.3">
      <c r="A3" s="4" t="s">
        <v>237</v>
      </c>
      <c r="B3" s="4" t="s">
        <v>238</v>
      </c>
      <c r="C3" s="4" t="s">
        <v>239</v>
      </c>
    </row>
    <row r="4" spans="1:3" x14ac:dyDescent="0.3">
      <c r="A4" s="4" t="s">
        <v>56</v>
      </c>
      <c r="B4" s="4" t="s">
        <v>240</v>
      </c>
      <c r="C4" s="4" t="s">
        <v>241</v>
      </c>
    </row>
    <row r="5" spans="1:3" x14ac:dyDescent="0.3">
      <c r="A5" s="4" t="s">
        <v>242</v>
      </c>
      <c r="B5" s="4" t="s">
        <v>243</v>
      </c>
      <c r="C5" s="4" t="s">
        <v>244</v>
      </c>
    </row>
    <row r="6" spans="1:3" x14ac:dyDescent="0.3">
      <c r="A6" s="4" t="s">
        <v>58</v>
      </c>
      <c r="B6" s="4" t="s">
        <v>245</v>
      </c>
      <c r="C6" s="4" t="s">
        <v>246</v>
      </c>
    </row>
    <row r="7" spans="1:3" x14ac:dyDescent="0.3">
      <c r="A7" s="4" t="s">
        <v>59</v>
      </c>
      <c r="B7" s="4" t="s">
        <v>247</v>
      </c>
      <c r="C7" s="4" t="s">
        <v>248</v>
      </c>
    </row>
    <row r="8" spans="1:3" x14ac:dyDescent="0.3">
      <c r="A8" s="4" t="s">
        <v>249</v>
      </c>
      <c r="B8" s="4" t="s">
        <v>250</v>
      </c>
      <c r="C8" s="4" t="s">
        <v>244</v>
      </c>
    </row>
    <row r="9" spans="1:3" x14ac:dyDescent="0.3">
      <c r="A9" s="4" t="s">
        <v>251</v>
      </c>
      <c r="B9" s="4" t="s">
        <v>252</v>
      </c>
      <c r="C9" s="4" t="s">
        <v>253</v>
      </c>
    </row>
    <row r="10" spans="1:3" x14ac:dyDescent="0.3">
      <c r="A10" s="4" t="s">
        <v>254</v>
      </c>
      <c r="B10" s="4" t="s">
        <v>255</v>
      </c>
      <c r="C10" s="4" t="s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301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2" width="16" customWidth="1"/>
    <col min="3" max="3" width="28" customWidth="1"/>
    <col min="4" max="4" width="75" customWidth="1"/>
    <col min="5" max="5" width="20" customWidth="1"/>
    <col min="6" max="6" width="14" customWidth="1"/>
    <col min="7" max="7" width="38" customWidth="1"/>
    <col min="8" max="8" width="55" customWidth="1"/>
  </cols>
  <sheetData>
    <row r="1" spans="1:8" ht="46.05" customHeight="1" x14ac:dyDescent="0.3">
      <c r="A1" s="1" t="s">
        <v>257</v>
      </c>
      <c r="B1" s="1" t="s">
        <v>35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68</v>
      </c>
      <c r="H1" s="1" t="s">
        <v>262</v>
      </c>
    </row>
    <row r="2" spans="1:8" x14ac:dyDescent="0.3">
      <c r="A2" s="6" t="s">
        <v>263</v>
      </c>
      <c r="B2" s="6" t="s">
        <v>72</v>
      </c>
      <c r="C2" s="6" t="s">
        <v>264</v>
      </c>
      <c r="D2" s="6" t="s">
        <v>265</v>
      </c>
      <c r="E2" s="6" t="s">
        <v>266</v>
      </c>
      <c r="F2" s="6">
        <v>3</v>
      </c>
      <c r="G2" s="6" t="s">
        <v>267</v>
      </c>
      <c r="H2" s="6" t="s">
        <v>268</v>
      </c>
    </row>
    <row r="3" spans="1:8" x14ac:dyDescent="0.3">
      <c r="A3" s="6" t="s">
        <v>269</v>
      </c>
      <c r="B3" s="6" t="s">
        <v>72</v>
      </c>
      <c r="C3" s="6" t="s">
        <v>43</v>
      </c>
      <c r="D3" s="6" t="s">
        <v>270</v>
      </c>
      <c r="E3" s="6" t="s">
        <v>266</v>
      </c>
      <c r="F3" s="6">
        <v>3</v>
      </c>
      <c r="G3" s="6" t="s">
        <v>267</v>
      </c>
      <c r="H3" s="6" t="s">
        <v>268</v>
      </c>
    </row>
    <row r="4" spans="1:8" x14ac:dyDescent="0.3">
      <c r="A4" s="6" t="s">
        <v>271</v>
      </c>
      <c r="B4" s="6" t="s">
        <v>72</v>
      </c>
      <c r="C4" s="6" t="s">
        <v>272</v>
      </c>
      <c r="D4" s="6" t="s">
        <v>273</v>
      </c>
      <c r="E4" s="6" t="s">
        <v>266</v>
      </c>
      <c r="F4" s="6">
        <v>3</v>
      </c>
      <c r="G4" s="6" t="s">
        <v>267</v>
      </c>
      <c r="H4" s="6" t="s">
        <v>268</v>
      </c>
    </row>
    <row r="5" spans="1:8" x14ac:dyDescent="0.3">
      <c r="A5" s="6" t="s">
        <v>274</v>
      </c>
      <c r="B5" s="6" t="s">
        <v>72</v>
      </c>
      <c r="C5" s="6" t="s">
        <v>46</v>
      </c>
      <c r="D5" s="6" t="s">
        <v>275</v>
      </c>
      <c r="E5" s="6" t="s">
        <v>266</v>
      </c>
      <c r="F5" s="6">
        <v>3</v>
      </c>
      <c r="G5" s="6" t="s">
        <v>267</v>
      </c>
      <c r="H5" s="6" t="s">
        <v>268</v>
      </c>
    </row>
    <row r="6" spans="1:8" x14ac:dyDescent="0.3">
      <c r="A6" s="6" t="s">
        <v>276</v>
      </c>
      <c r="B6" s="6" t="s">
        <v>72</v>
      </c>
      <c r="C6" s="6" t="s">
        <v>277</v>
      </c>
      <c r="D6" s="6" t="s">
        <v>278</v>
      </c>
      <c r="E6" s="6" t="s">
        <v>266</v>
      </c>
      <c r="F6" s="6">
        <v>3</v>
      </c>
      <c r="G6" s="6" t="s">
        <v>267</v>
      </c>
      <c r="H6" s="6" t="s">
        <v>268</v>
      </c>
    </row>
    <row r="7" spans="1:8" x14ac:dyDescent="0.3">
      <c r="A7" s="6" t="s">
        <v>279</v>
      </c>
      <c r="B7" s="6" t="s">
        <v>72</v>
      </c>
      <c r="C7" s="6" t="s">
        <v>48</v>
      </c>
      <c r="D7" s="6" t="s">
        <v>280</v>
      </c>
      <c r="E7" s="6" t="s">
        <v>266</v>
      </c>
      <c r="F7" s="6">
        <v>3</v>
      </c>
      <c r="G7" s="6" t="s">
        <v>267</v>
      </c>
      <c r="H7" s="6" t="s">
        <v>268</v>
      </c>
    </row>
    <row r="8" spans="1:8" x14ac:dyDescent="0.3">
      <c r="A8" s="6" t="s">
        <v>281</v>
      </c>
      <c r="B8" s="6" t="s">
        <v>72</v>
      </c>
      <c r="C8" s="6" t="s">
        <v>49</v>
      </c>
      <c r="D8" s="6" t="s">
        <v>282</v>
      </c>
      <c r="E8" s="6" t="s">
        <v>266</v>
      </c>
      <c r="F8" s="6">
        <v>3</v>
      </c>
      <c r="G8" s="6" t="s">
        <v>267</v>
      </c>
      <c r="H8" s="6" t="s">
        <v>268</v>
      </c>
    </row>
    <row r="9" spans="1:8" x14ac:dyDescent="0.3">
      <c r="A9" s="6" t="s">
        <v>283</v>
      </c>
      <c r="B9" s="6" t="s">
        <v>72</v>
      </c>
      <c r="C9" s="6" t="s">
        <v>50</v>
      </c>
      <c r="D9" s="6" t="s">
        <v>284</v>
      </c>
      <c r="E9" s="6" t="s">
        <v>266</v>
      </c>
      <c r="F9" s="6">
        <v>3</v>
      </c>
      <c r="G9" s="6" t="s">
        <v>267</v>
      </c>
      <c r="H9" s="6" t="s">
        <v>268</v>
      </c>
    </row>
    <row r="10" spans="1:8" x14ac:dyDescent="0.3">
      <c r="A10" s="6" t="s">
        <v>285</v>
      </c>
      <c r="B10" s="6" t="s">
        <v>72</v>
      </c>
      <c r="C10" s="6" t="s">
        <v>286</v>
      </c>
      <c r="D10" s="6" t="s">
        <v>287</v>
      </c>
      <c r="E10" s="6" t="s">
        <v>266</v>
      </c>
      <c r="F10" s="6">
        <v>3</v>
      </c>
      <c r="G10" s="6" t="s">
        <v>267</v>
      </c>
      <c r="H10" s="6" t="s">
        <v>268</v>
      </c>
    </row>
    <row r="11" spans="1:8" x14ac:dyDescent="0.3">
      <c r="A11" s="6" t="s">
        <v>288</v>
      </c>
      <c r="B11" s="6" t="s">
        <v>72</v>
      </c>
      <c r="C11" s="6" t="s">
        <v>289</v>
      </c>
      <c r="D11" s="6" t="s">
        <v>290</v>
      </c>
      <c r="E11" s="6" t="s">
        <v>266</v>
      </c>
      <c r="F11" s="6">
        <v>3</v>
      </c>
      <c r="G11" s="6" t="s">
        <v>267</v>
      </c>
      <c r="H11" s="6" t="s">
        <v>268</v>
      </c>
    </row>
    <row r="12" spans="1:8" x14ac:dyDescent="0.3">
      <c r="A12" s="6" t="s">
        <v>291</v>
      </c>
      <c r="B12" s="6" t="s">
        <v>97</v>
      </c>
      <c r="C12" s="6" t="s">
        <v>264</v>
      </c>
      <c r="D12" s="6" t="s">
        <v>265</v>
      </c>
      <c r="E12" s="6" t="s">
        <v>266</v>
      </c>
      <c r="F12" s="6">
        <v>3</v>
      </c>
      <c r="G12" s="6" t="s">
        <v>292</v>
      </c>
      <c r="H12" s="6" t="s">
        <v>268</v>
      </c>
    </row>
    <row r="13" spans="1:8" x14ac:dyDescent="0.3">
      <c r="A13" s="6" t="s">
        <v>293</v>
      </c>
      <c r="B13" s="6" t="s">
        <v>97</v>
      </c>
      <c r="C13" s="6" t="s">
        <v>43</v>
      </c>
      <c r="D13" s="6" t="s">
        <v>270</v>
      </c>
      <c r="E13" s="6" t="s">
        <v>266</v>
      </c>
      <c r="F13" s="6">
        <v>3</v>
      </c>
      <c r="G13" s="6" t="s">
        <v>292</v>
      </c>
      <c r="H13" s="6" t="s">
        <v>268</v>
      </c>
    </row>
    <row r="14" spans="1:8" x14ac:dyDescent="0.3">
      <c r="A14" s="6" t="s">
        <v>294</v>
      </c>
      <c r="B14" s="6" t="s">
        <v>97</v>
      </c>
      <c r="C14" s="6" t="s">
        <v>272</v>
      </c>
      <c r="D14" s="6" t="s">
        <v>273</v>
      </c>
      <c r="E14" s="6" t="s">
        <v>266</v>
      </c>
      <c r="F14" s="6">
        <v>3</v>
      </c>
      <c r="G14" s="6" t="s">
        <v>292</v>
      </c>
      <c r="H14" s="6" t="s">
        <v>268</v>
      </c>
    </row>
    <row r="15" spans="1:8" x14ac:dyDescent="0.3">
      <c r="A15" s="6" t="s">
        <v>295</v>
      </c>
      <c r="B15" s="6" t="s">
        <v>97</v>
      </c>
      <c r="C15" s="6" t="s">
        <v>46</v>
      </c>
      <c r="D15" s="6" t="s">
        <v>275</v>
      </c>
      <c r="E15" s="6" t="s">
        <v>266</v>
      </c>
      <c r="F15" s="6">
        <v>3</v>
      </c>
      <c r="G15" s="6" t="s">
        <v>292</v>
      </c>
      <c r="H15" s="6" t="s">
        <v>268</v>
      </c>
    </row>
    <row r="16" spans="1:8" x14ac:dyDescent="0.3">
      <c r="A16" s="6" t="s">
        <v>296</v>
      </c>
      <c r="B16" s="6" t="s">
        <v>97</v>
      </c>
      <c r="C16" s="6" t="s">
        <v>277</v>
      </c>
      <c r="D16" s="6" t="s">
        <v>278</v>
      </c>
      <c r="E16" s="6" t="s">
        <v>266</v>
      </c>
      <c r="F16" s="6">
        <v>3</v>
      </c>
      <c r="G16" s="6" t="s">
        <v>292</v>
      </c>
      <c r="H16" s="6" t="s">
        <v>268</v>
      </c>
    </row>
    <row r="17" spans="1:8" x14ac:dyDescent="0.3">
      <c r="A17" s="6" t="s">
        <v>297</v>
      </c>
      <c r="B17" s="6" t="s">
        <v>97</v>
      </c>
      <c r="C17" s="6" t="s">
        <v>48</v>
      </c>
      <c r="D17" s="6" t="s">
        <v>280</v>
      </c>
      <c r="E17" s="6" t="s">
        <v>266</v>
      </c>
      <c r="F17" s="6">
        <v>3</v>
      </c>
      <c r="G17" s="6" t="s">
        <v>292</v>
      </c>
      <c r="H17" s="6" t="s">
        <v>268</v>
      </c>
    </row>
    <row r="18" spans="1:8" x14ac:dyDescent="0.3">
      <c r="A18" s="6" t="s">
        <v>298</v>
      </c>
      <c r="B18" s="6" t="s">
        <v>97</v>
      </c>
      <c r="C18" s="6" t="s">
        <v>49</v>
      </c>
      <c r="D18" s="6" t="s">
        <v>282</v>
      </c>
      <c r="E18" s="6" t="s">
        <v>266</v>
      </c>
      <c r="F18" s="6">
        <v>3</v>
      </c>
      <c r="G18" s="6" t="s">
        <v>292</v>
      </c>
      <c r="H18" s="6" t="s">
        <v>268</v>
      </c>
    </row>
    <row r="19" spans="1:8" x14ac:dyDescent="0.3">
      <c r="A19" s="6" t="s">
        <v>299</v>
      </c>
      <c r="B19" s="6" t="s">
        <v>97</v>
      </c>
      <c r="C19" s="6" t="s">
        <v>50</v>
      </c>
      <c r="D19" s="6" t="s">
        <v>284</v>
      </c>
      <c r="E19" s="6" t="s">
        <v>266</v>
      </c>
      <c r="F19" s="6">
        <v>3</v>
      </c>
      <c r="G19" s="6" t="s">
        <v>292</v>
      </c>
      <c r="H19" s="6" t="s">
        <v>268</v>
      </c>
    </row>
    <row r="20" spans="1:8" x14ac:dyDescent="0.3">
      <c r="A20" s="6" t="s">
        <v>300</v>
      </c>
      <c r="B20" s="6" t="s">
        <v>97</v>
      </c>
      <c r="C20" s="6" t="s">
        <v>286</v>
      </c>
      <c r="D20" s="6" t="s">
        <v>287</v>
      </c>
      <c r="E20" s="6" t="s">
        <v>266</v>
      </c>
      <c r="F20" s="6">
        <v>3</v>
      </c>
      <c r="G20" s="6" t="s">
        <v>292</v>
      </c>
      <c r="H20" s="6" t="s">
        <v>268</v>
      </c>
    </row>
    <row r="21" spans="1:8" x14ac:dyDescent="0.3">
      <c r="A21" s="6" t="s">
        <v>301</v>
      </c>
      <c r="B21" s="6" t="s">
        <v>97</v>
      </c>
      <c r="C21" s="6" t="s">
        <v>289</v>
      </c>
      <c r="D21" s="6" t="s">
        <v>290</v>
      </c>
      <c r="E21" s="6" t="s">
        <v>266</v>
      </c>
      <c r="F21" s="6">
        <v>3</v>
      </c>
      <c r="G21" s="6" t="s">
        <v>292</v>
      </c>
      <c r="H21" s="6" t="s">
        <v>268</v>
      </c>
    </row>
    <row r="22" spans="1:8" x14ac:dyDescent="0.3">
      <c r="A22" s="6" t="s">
        <v>302</v>
      </c>
      <c r="B22" s="6" t="s">
        <v>103</v>
      </c>
      <c r="C22" s="6" t="s">
        <v>264</v>
      </c>
      <c r="D22" s="6" t="s">
        <v>265</v>
      </c>
      <c r="E22" s="6" t="s">
        <v>266</v>
      </c>
      <c r="F22" s="6">
        <v>3</v>
      </c>
      <c r="G22" s="6" t="s">
        <v>303</v>
      </c>
      <c r="H22" s="6" t="s">
        <v>268</v>
      </c>
    </row>
    <row r="23" spans="1:8" x14ac:dyDescent="0.3">
      <c r="A23" s="6" t="s">
        <v>304</v>
      </c>
      <c r="B23" s="6" t="s">
        <v>103</v>
      </c>
      <c r="C23" s="6" t="s">
        <v>43</v>
      </c>
      <c r="D23" s="6" t="s">
        <v>270</v>
      </c>
      <c r="E23" s="6" t="s">
        <v>266</v>
      </c>
      <c r="F23" s="6">
        <v>3</v>
      </c>
      <c r="G23" s="6" t="s">
        <v>303</v>
      </c>
      <c r="H23" s="6" t="s">
        <v>268</v>
      </c>
    </row>
    <row r="24" spans="1:8" x14ac:dyDescent="0.3">
      <c r="A24" s="6" t="s">
        <v>305</v>
      </c>
      <c r="B24" s="6" t="s">
        <v>103</v>
      </c>
      <c r="C24" s="6" t="s">
        <v>272</v>
      </c>
      <c r="D24" s="6" t="s">
        <v>273</v>
      </c>
      <c r="E24" s="6" t="s">
        <v>266</v>
      </c>
      <c r="F24" s="6">
        <v>3</v>
      </c>
      <c r="G24" s="6" t="s">
        <v>303</v>
      </c>
      <c r="H24" s="6" t="s">
        <v>268</v>
      </c>
    </row>
    <row r="25" spans="1:8" x14ac:dyDescent="0.3">
      <c r="A25" s="6" t="s">
        <v>306</v>
      </c>
      <c r="B25" s="6" t="s">
        <v>103</v>
      </c>
      <c r="C25" s="6" t="s">
        <v>46</v>
      </c>
      <c r="D25" s="6" t="s">
        <v>275</v>
      </c>
      <c r="E25" s="6" t="s">
        <v>266</v>
      </c>
      <c r="F25" s="6">
        <v>3</v>
      </c>
      <c r="G25" s="6" t="s">
        <v>303</v>
      </c>
      <c r="H25" s="6" t="s">
        <v>268</v>
      </c>
    </row>
    <row r="26" spans="1:8" x14ac:dyDescent="0.3">
      <c r="A26" s="6" t="s">
        <v>307</v>
      </c>
      <c r="B26" s="6" t="s">
        <v>103</v>
      </c>
      <c r="C26" s="6" t="s">
        <v>277</v>
      </c>
      <c r="D26" s="6" t="s">
        <v>278</v>
      </c>
      <c r="E26" s="6" t="s">
        <v>266</v>
      </c>
      <c r="F26" s="6">
        <v>3</v>
      </c>
      <c r="G26" s="6" t="s">
        <v>303</v>
      </c>
      <c r="H26" s="6" t="s">
        <v>268</v>
      </c>
    </row>
    <row r="27" spans="1:8" x14ac:dyDescent="0.3">
      <c r="A27" s="6" t="s">
        <v>308</v>
      </c>
      <c r="B27" s="6" t="s">
        <v>103</v>
      </c>
      <c r="C27" s="6" t="s">
        <v>48</v>
      </c>
      <c r="D27" s="6" t="s">
        <v>280</v>
      </c>
      <c r="E27" s="6" t="s">
        <v>266</v>
      </c>
      <c r="F27" s="6">
        <v>3</v>
      </c>
      <c r="G27" s="6" t="s">
        <v>303</v>
      </c>
      <c r="H27" s="6" t="s">
        <v>268</v>
      </c>
    </row>
    <row r="28" spans="1:8" x14ac:dyDescent="0.3">
      <c r="A28" s="6" t="s">
        <v>309</v>
      </c>
      <c r="B28" s="6" t="s">
        <v>103</v>
      </c>
      <c r="C28" s="6" t="s">
        <v>49</v>
      </c>
      <c r="D28" s="6" t="s">
        <v>282</v>
      </c>
      <c r="E28" s="6" t="s">
        <v>266</v>
      </c>
      <c r="F28" s="6">
        <v>3</v>
      </c>
      <c r="G28" s="6" t="s">
        <v>303</v>
      </c>
      <c r="H28" s="6" t="s">
        <v>268</v>
      </c>
    </row>
    <row r="29" spans="1:8" x14ac:dyDescent="0.3">
      <c r="A29" s="6" t="s">
        <v>310</v>
      </c>
      <c r="B29" s="6" t="s">
        <v>103</v>
      </c>
      <c r="C29" s="6" t="s">
        <v>50</v>
      </c>
      <c r="D29" s="6" t="s">
        <v>284</v>
      </c>
      <c r="E29" s="6" t="s">
        <v>266</v>
      </c>
      <c r="F29" s="6">
        <v>3</v>
      </c>
      <c r="G29" s="6" t="s">
        <v>303</v>
      </c>
      <c r="H29" s="6" t="s">
        <v>268</v>
      </c>
    </row>
    <row r="30" spans="1:8" x14ac:dyDescent="0.3">
      <c r="A30" s="6" t="s">
        <v>311</v>
      </c>
      <c r="B30" s="6" t="s">
        <v>103</v>
      </c>
      <c r="C30" s="6" t="s">
        <v>286</v>
      </c>
      <c r="D30" s="6" t="s">
        <v>287</v>
      </c>
      <c r="E30" s="6" t="s">
        <v>266</v>
      </c>
      <c r="F30" s="6">
        <v>3</v>
      </c>
      <c r="G30" s="6" t="s">
        <v>303</v>
      </c>
      <c r="H30" s="6" t="s">
        <v>268</v>
      </c>
    </row>
    <row r="31" spans="1:8" x14ac:dyDescent="0.3">
      <c r="A31" s="6" t="s">
        <v>312</v>
      </c>
      <c r="B31" s="6" t="s">
        <v>103</v>
      </c>
      <c r="C31" s="6" t="s">
        <v>289</v>
      </c>
      <c r="D31" s="6" t="s">
        <v>290</v>
      </c>
      <c r="E31" s="6" t="s">
        <v>266</v>
      </c>
      <c r="F31" s="6">
        <v>3</v>
      </c>
      <c r="G31" s="6" t="s">
        <v>303</v>
      </c>
      <c r="H31" s="6" t="s">
        <v>268</v>
      </c>
    </row>
    <row r="32" spans="1:8" x14ac:dyDescent="0.3">
      <c r="A32" s="6" t="s">
        <v>313</v>
      </c>
      <c r="B32" s="6" t="s">
        <v>109</v>
      </c>
      <c r="C32" s="6" t="s">
        <v>264</v>
      </c>
      <c r="D32" s="6" t="s">
        <v>265</v>
      </c>
      <c r="E32" s="6" t="s">
        <v>266</v>
      </c>
      <c r="F32" s="6">
        <v>3</v>
      </c>
      <c r="G32" s="6" t="s">
        <v>314</v>
      </c>
      <c r="H32" s="6" t="s">
        <v>268</v>
      </c>
    </row>
    <row r="33" spans="1:8" x14ac:dyDescent="0.3">
      <c r="A33" s="6" t="s">
        <v>315</v>
      </c>
      <c r="B33" s="6" t="s">
        <v>109</v>
      </c>
      <c r="C33" s="6" t="s">
        <v>43</v>
      </c>
      <c r="D33" s="6" t="s">
        <v>270</v>
      </c>
      <c r="E33" s="6" t="s">
        <v>266</v>
      </c>
      <c r="F33" s="6">
        <v>3</v>
      </c>
      <c r="G33" s="6" t="s">
        <v>314</v>
      </c>
      <c r="H33" s="6" t="s">
        <v>268</v>
      </c>
    </row>
    <row r="34" spans="1:8" x14ac:dyDescent="0.3">
      <c r="A34" s="6" t="s">
        <v>316</v>
      </c>
      <c r="B34" s="6" t="s">
        <v>109</v>
      </c>
      <c r="C34" s="6" t="s">
        <v>272</v>
      </c>
      <c r="D34" s="6" t="s">
        <v>273</v>
      </c>
      <c r="E34" s="6" t="s">
        <v>266</v>
      </c>
      <c r="F34" s="6">
        <v>3</v>
      </c>
      <c r="G34" s="6" t="s">
        <v>314</v>
      </c>
      <c r="H34" s="6" t="s">
        <v>268</v>
      </c>
    </row>
    <row r="35" spans="1:8" x14ac:dyDescent="0.3">
      <c r="A35" s="6" t="s">
        <v>317</v>
      </c>
      <c r="B35" s="6" t="s">
        <v>109</v>
      </c>
      <c r="C35" s="6" t="s">
        <v>46</v>
      </c>
      <c r="D35" s="6" t="s">
        <v>275</v>
      </c>
      <c r="E35" s="6" t="s">
        <v>266</v>
      </c>
      <c r="F35" s="6">
        <v>3</v>
      </c>
      <c r="G35" s="6" t="s">
        <v>314</v>
      </c>
      <c r="H35" s="6" t="s">
        <v>268</v>
      </c>
    </row>
    <row r="36" spans="1:8" x14ac:dyDescent="0.3">
      <c r="A36" s="6" t="s">
        <v>318</v>
      </c>
      <c r="B36" s="6" t="s">
        <v>109</v>
      </c>
      <c r="C36" s="6" t="s">
        <v>277</v>
      </c>
      <c r="D36" s="6" t="s">
        <v>278</v>
      </c>
      <c r="E36" s="6" t="s">
        <v>266</v>
      </c>
      <c r="F36" s="6">
        <v>3</v>
      </c>
      <c r="G36" s="6" t="s">
        <v>314</v>
      </c>
      <c r="H36" s="6" t="s">
        <v>268</v>
      </c>
    </row>
    <row r="37" spans="1:8" x14ac:dyDescent="0.3">
      <c r="A37" s="6" t="s">
        <v>319</v>
      </c>
      <c r="B37" s="6" t="s">
        <v>109</v>
      </c>
      <c r="C37" s="6" t="s">
        <v>48</v>
      </c>
      <c r="D37" s="6" t="s">
        <v>280</v>
      </c>
      <c r="E37" s="6" t="s">
        <v>266</v>
      </c>
      <c r="F37" s="6">
        <v>3</v>
      </c>
      <c r="G37" s="6" t="s">
        <v>314</v>
      </c>
      <c r="H37" s="6" t="s">
        <v>268</v>
      </c>
    </row>
    <row r="38" spans="1:8" x14ac:dyDescent="0.3">
      <c r="A38" s="6" t="s">
        <v>320</v>
      </c>
      <c r="B38" s="6" t="s">
        <v>109</v>
      </c>
      <c r="C38" s="6" t="s">
        <v>49</v>
      </c>
      <c r="D38" s="6" t="s">
        <v>282</v>
      </c>
      <c r="E38" s="6" t="s">
        <v>266</v>
      </c>
      <c r="F38" s="6">
        <v>3</v>
      </c>
      <c r="G38" s="6" t="s">
        <v>314</v>
      </c>
      <c r="H38" s="6" t="s">
        <v>268</v>
      </c>
    </row>
    <row r="39" spans="1:8" x14ac:dyDescent="0.3">
      <c r="A39" s="6" t="s">
        <v>321</v>
      </c>
      <c r="B39" s="6" t="s">
        <v>109</v>
      </c>
      <c r="C39" s="6" t="s">
        <v>50</v>
      </c>
      <c r="D39" s="6" t="s">
        <v>284</v>
      </c>
      <c r="E39" s="6" t="s">
        <v>266</v>
      </c>
      <c r="F39" s="6">
        <v>3</v>
      </c>
      <c r="G39" s="6" t="s">
        <v>314</v>
      </c>
      <c r="H39" s="6" t="s">
        <v>268</v>
      </c>
    </row>
    <row r="40" spans="1:8" x14ac:dyDescent="0.3">
      <c r="A40" s="6" t="s">
        <v>322</v>
      </c>
      <c r="B40" s="6" t="s">
        <v>109</v>
      </c>
      <c r="C40" s="6" t="s">
        <v>286</v>
      </c>
      <c r="D40" s="6" t="s">
        <v>287</v>
      </c>
      <c r="E40" s="6" t="s">
        <v>266</v>
      </c>
      <c r="F40" s="6">
        <v>3</v>
      </c>
      <c r="G40" s="6" t="s">
        <v>314</v>
      </c>
      <c r="H40" s="6" t="s">
        <v>268</v>
      </c>
    </row>
    <row r="41" spans="1:8" x14ac:dyDescent="0.3">
      <c r="A41" s="6" t="s">
        <v>323</v>
      </c>
      <c r="B41" s="6" t="s">
        <v>109</v>
      </c>
      <c r="C41" s="6" t="s">
        <v>289</v>
      </c>
      <c r="D41" s="6" t="s">
        <v>290</v>
      </c>
      <c r="E41" s="6" t="s">
        <v>266</v>
      </c>
      <c r="F41" s="6">
        <v>3</v>
      </c>
      <c r="G41" s="6" t="s">
        <v>314</v>
      </c>
      <c r="H41" s="6" t="s">
        <v>268</v>
      </c>
    </row>
    <row r="42" spans="1:8" x14ac:dyDescent="0.3">
      <c r="A42" s="6" t="s">
        <v>324</v>
      </c>
      <c r="B42" s="6" t="s">
        <v>114</v>
      </c>
      <c r="C42" s="6" t="s">
        <v>264</v>
      </c>
      <c r="D42" s="6" t="s">
        <v>265</v>
      </c>
      <c r="E42" s="6" t="s">
        <v>266</v>
      </c>
      <c r="F42" s="6">
        <v>3</v>
      </c>
      <c r="G42" s="6" t="s">
        <v>325</v>
      </c>
      <c r="H42" s="6" t="s">
        <v>268</v>
      </c>
    </row>
    <row r="43" spans="1:8" x14ac:dyDescent="0.3">
      <c r="A43" s="6" t="s">
        <v>326</v>
      </c>
      <c r="B43" s="6" t="s">
        <v>114</v>
      </c>
      <c r="C43" s="6" t="s">
        <v>43</v>
      </c>
      <c r="D43" s="6" t="s">
        <v>270</v>
      </c>
      <c r="E43" s="6" t="s">
        <v>266</v>
      </c>
      <c r="F43" s="6">
        <v>3</v>
      </c>
      <c r="G43" s="6" t="s">
        <v>325</v>
      </c>
      <c r="H43" s="6" t="s">
        <v>268</v>
      </c>
    </row>
    <row r="44" spans="1:8" x14ac:dyDescent="0.3">
      <c r="A44" s="6" t="s">
        <v>327</v>
      </c>
      <c r="B44" s="6" t="s">
        <v>114</v>
      </c>
      <c r="C44" s="6" t="s">
        <v>272</v>
      </c>
      <c r="D44" s="6" t="s">
        <v>273</v>
      </c>
      <c r="E44" s="6" t="s">
        <v>266</v>
      </c>
      <c r="F44" s="6">
        <v>3</v>
      </c>
      <c r="G44" s="6" t="s">
        <v>325</v>
      </c>
      <c r="H44" s="6" t="s">
        <v>268</v>
      </c>
    </row>
    <row r="45" spans="1:8" x14ac:dyDescent="0.3">
      <c r="A45" s="6" t="s">
        <v>328</v>
      </c>
      <c r="B45" s="6" t="s">
        <v>114</v>
      </c>
      <c r="C45" s="6" t="s">
        <v>46</v>
      </c>
      <c r="D45" s="6" t="s">
        <v>275</v>
      </c>
      <c r="E45" s="6" t="s">
        <v>266</v>
      </c>
      <c r="F45" s="6">
        <v>3</v>
      </c>
      <c r="G45" s="6" t="s">
        <v>325</v>
      </c>
      <c r="H45" s="6" t="s">
        <v>268</v>
      </c>
    </row>
    <row r="46" spans="1:8" x14ac:dyDescent="0.3">
      <c r="A46" s="6" t="s">
        <v>329</v>
      </c>
      <c r="B46" s="6" t="s">
        <v>114</v>
      </c>
      <c r="C46" s="6" t="s">
        <v>277</v>
      </c>
      <c r="D46" s="6" t="s">
        <v>278</v>
      </c>
      <c r="E46" s="6" t="s">
        <v>266</v>
      </c>
      <c r="F46" s="6">
        <v>3</v>
      </c>
      <c r="G46" s="6" t="s">
        <v>325</v>
      </c>
      <c r="H46" s="6" t="s">
        <v>268</v>
      </c>
    </row>
    <row r="47" spans="1:8" x14ac:dyDescent="0.3">
      <c r="A47" s="6" t="s">
        <v>330</v>
      </c>
      <c r="B47" s="6" t="s">
        <v>114</v>
      </c>
      <c r="C47" s="6" t="s">
        <v>48</v>
      </c>
      <c r="D47" s="6" t="s">
        <v>280</v>
      </c>
      <c r="E47" s="6" t="s">
        <v>266</v>
      </c>
      <c r="F47" s="6">
        <v>3</v>
      </c>
      <c r="G47" s="6" t="s">
        <v>325</v>
      </c>
      <c r="H47" s="6" t="s">
        <v>268</v>
      </c>
    </row>
    <row r="48" spans="1:8" x14ac:dyDescent="0.3">
      <c r="A48" s="6" t="s">
        <v>331</v>
      </c>
      <c r="B48" s="6" t="s">
        <v>114</v>
      </c>
      <c r="C48" s="6" t="s">
        <v>49</v>
      </c>
      <c r="D48" s="6" t="s">
        <v>282</v>
      </c>
      <c r="E48" s="6" t="s">
        <v>266</v>
      </c>
      <c r="F48" s="6">
        <v>3</v>
      </c>
      <c r="G48" s="6" t="s">
        <v>325</v>
      </c>
      <c r="H48" s="6" t="s">
        <v>268</v>
      </c>
    </row>
    <row r="49" spans="1:8" x14ac:dyDescent="0.3">
      <c r="A49" s="6" t="s">
        <v>332</v>
      </c>
      <c r="B49" s="6" t="s">
        <v>114</v>
      </c>
      <c r="C49" s="6" t="s">
        <v>50</v>
      </c>
      <c r="D49" s="6" t="s">
        <v>284</v>
      </c>
      <c r="E49" s="6" t="s">
        <v>266</v>
      </c>
      <c r="F49" s="6">
        <v>3</v>
      </c>
      <c r="G49" s="6" t="s">
        <v>325</v>
      </c>
      <c r="H49" s="6" t="s">
        <v>268</v>
      </c>
    </row>
    <row r="50" spans="1:8" x14ac:dyDescent="0.3">
      <c r="A50" s="6" t="s">
        <v>333</v>
      </c>
      <c r="B50" s="6" t="s">
        <v>114</v>
      </c>
      <c r="C50" s="6" t="s">
        <v>286</v>
      </c>
      <c r="D50" s="6" t="s">
        <v>287</v>
      </c>
      <c r="E50" s="6" t="s">
        <v>266</v>
      </c>
      <c r="F50" s="6">
        <v>3</v>
      </c>
      <c r="G50" s="6" t="s">
        <v>325</v>
      </c>
      <c r="H50" s="6" t="s">
        <v>268</v>
      </c>
    </row>
    <row r="51" spans="1:8" x14ac:dyDescent="0.3">
      <c r="A51" s="6" t="s">
        <v>334</v>
      </c>
      <c r="B51" s="6" t="s">
        <v>114</v>
      </c>
      <c r="C51" s="6" t="s">
        <v>289</v>
      </c>
      <c r="D51" s="6" t="s">
        <v>290</v>
      </c>
      <c r="E51" s="6" t="s">
        <v>266</v>
      </c>
      <c r="F51" s="6">
        <v>3</v>
      </c>
      <c r="G51" s="6" t="s">
        <v>325</v>
      </c>
      <c r="H51" s="6" t="s">
        <v>268</v>
      </c>
    </row>
    <row r="52" spans="1:8" x14ac:dyDescent="0.3">
      <c r="A52" s="6" t="s">
        <v>335</v>
      </c>
      <c r="B52" s="6" t="s">
        <v>120</v>
      </c>
      <c r="C52" s="6" t="s">
        <v>264</v>
      </c>
      <c r="D52" s="6" t="s">
        <v>265</v>
      </c>
      <c r="E52" s="6" t="s">
        <v>266</v>
      </c>
      <c r="F52" s="6">
        <v>3</v>
      </c>
      <c r="G52" s="6" t="s">
        <v>336</v>
      </c>
      <c r="H52" s="6" t="s">
        <v>268</v>
      </c>
    </row>
    <row r="53" spans="1:8" x14ac:dyDescent="0.3">
      <c r="A53" s="6" t="s">
        <v>337</v>
      </c>
      <c r="B53" s="6" t="s">
        <v>120</v>
      </c>
      <c r="C53" s="6" t="s">
        <v>43</v>
      </c>
      <c r="D53" s="6" t="s">
        <v>270</v>
      </c>
      <c r="E53" s="6" t="s">
        <v>266</v>
      </c>
      <c r="F53" s="6">
        <v>3</v>
      </c>
      <c r="G53" s="6" t="s">
        <v>336</v>
      </c>
      <c r="H53" s="6" t="s">
        <v>268</v>
      </c>
    </row>
    <row r="54" spans="1:8" x14ac:dyDescent="0.3">
      <c r="A54" s="6" t="s">
        <v>338</v>
      </c>
      <c r="B54" s="6" t="s">
        <v>120</v>
      </c>
      <c r="C54" s="6" t="s">
        <v>272</v>
      </c>
      <c r="D54" s="6" t="s">
        <v>273</v>
      </c>
      <c r="E54" s="6" t="s">
        <v>266</v>
      </c>
      <c r="F54" s="6">
        <v>3</v>
      </c>
      <c r="G54" s="6" t="s">
        <v>336</v>
      </c>
      <c r="H54" s="6" t="s">
        <v>268</v>
      </c>
    </row>
    <row r="55" spans="1:8" x14ac:dyDescent="0.3">
      <c r="A55" s="6" t="s">
        <v>339</v>
      </c>
      <c r="B55" s="6" t="s">
        <v>120</v>
      </c>
      <c r="C55" s="6" t="s">
        <v>46</v>
      </c>
      <c r="D55" s="6" t="s">
        <v>275</v>
      </c>
      <c r="E55" s="6" t="s">
        <v>266</v>
      </c>
      <c r="F55" s="6">
        <v>3</v>
      </c>
      <c r="G55" s="6" t="s">
        <v>336</v>
      </c>
      <c r="H55" s="6" t="s">
        <v>268</v>
      </c>
    </row>
    <row r="56" spans="1:8" x14ac:dyDescent="0.3">
      <c r="A56" s="6" t="s">
        <v>340</v>
      </c>
      <c r="B56" s="6" t="s">
        <v>120</v>
      </c>
      <c r="C56" s="6" t="s">
        <v>277</v>
      </c>
      <c r="D56" s="6" t="s">
        <v>278</v>
      </c>
      <c r="E56" s="6" t="s">
        <v>266</v>
      </c>
      <c r="F56" s="6">
        <v>3</v>
      </c>
      <c r="G56" s="6" t="s">
        <v>336</v>
      </c>
      <c r="H56" s="6" t="s">
        <v>268</v>
      </c>
    </row>
    <row r="57" spans="1:8" x14ac:dyDescent="0.3">
      <c r="A57" s="6" t="s">
        <v>341</v>
      </c>
      <c r="B57" s="6" t="s">
        <v>120</v>
      </c>
      <c r="C57" s="6" t="s">
        <v>48</v>
      </c>
      <c r="D57" s="6" t="s">
        <v>280</v>
      </c>
      <c r="E57" s="6" t="s">
        <v>266</v>
      </c>
      <c r="F57" s="6">
        <v>3</v>
      </c>
      <c r="G57" s="6" t="s">
        <v>336</v>
      </c>
      <c r="H57" s="6" t="s">
        <v>268</v>
      </c>
    </row>
    <row r="58" spans="1:8" x14ac:dyDescent="0.3">
      <c r="A58" s="6" t="s">
        <v>342</v>
      </c>
      <c r="B58" s="6" t="s">
        <v>120</v>
      </c>
      <c r="C58" s="6" t="s">
        <v>49</v>
      </c>
      <c r="D58" s="6" t="s">
        <v>282</v>
      </c>
      <c r="E58" s="6" t="s">
        <v>266</v>
      </c>
      <c r="F58" s="6">
        <v>3</v>
      </c>
      <c r="G58" s="6" t="s">
        <v>336</v>
      </c>
      <c r="H58" s="6" t="s">
        <v>268</v>
      </c>
    </row>
    <row r="59" spans="1:8" x14ac:dyDescent="0.3">
      <c r="A59" s="6" t="s">
        <v>343</v>
      </c>
      <c r="B59" s="6" t="s">
        <v>120</v>
      </c>
      <c r="C59" s="6" t="s">
        <v>50</v>
      </c>
      <c r="D59" s="6" t="s">
        <v>284</v>
      </c>
      <c r="E59" s="6" t="s">
        <v>266</v>
      </c>
      <c r="F59" s="6">
        <v>3</v>
      </c>
      <c r="G59" s="6" t="s">
        <v>336</v>
      </c>
      <c r="H59" s="6" t="s">
        <v>268</v>
      </c>
    </row>
    <row r="60" spans="1:8" x14ac:dyDescent="0.3">
      <c r="A60" s="6" t="s">
        <v>344</v>
      </c>
      <c r="B60" s="6" t="s">
        <v>120</v>
      </c>
      <c r="C60" s="6" t="s">
        <v>286</v>
      </c>
      <c r="D60" s="6" t="s">
        <v>287</v>
      </c>
      <c r="E60" s="6" t="s">
        <v>266</v>
      </c>
      <c r="F60" s="6">
        <v>3</v>
      </c>
      <c r="G60" s="6" t="s">
        <v>336</v>
      </c>
      <c r="H60" s="6" t="s">
        <v>268</v>
      </c>
    </row>
    <row r="61" spans="1:8" x14ac:dyDescent="0.3">
      <c r="A61" s="6" t="s">
        <v>345</v>
      </c>
      <c r="B61" s="6" t="s">
        <v>120</v>
      </c>
      <c r="C61" s="6" t="s">
        <v>289</v>
      </c>
      <c r="D61" s="6" t="s">
        <v>290</v>
      </c>
      <c r="E61" s="6" t="s">
        <v>266</v>
      </c>
      <c r="F61" s="6">
        <v>3</v>
      </c>
      <c r="G61" s="6" t="s">
        <v>336</v>
      </c>
      <c r="H61" s="6" t="s">
        <v>268</v>
      </c>
    </row>
    <row r="62" spans="1:8" x14ac:dyDescent="0.3">
      <c r="A62" s="6" t="s">
        <v>346</v>
      </c>
      <c r="B62" s="6" t="s">
        <v>126</v>
      </c>
      <c r="C62" s="6" t="s">
        <v>264</v>
      </c>
      <c r="D62" s="6" t="s">
        <v>265</v>
      </c>
      <c r="E62" s="6" t="s">
        <v>266</v>
      </c>
      <c r="F62" s="6">
        <v>3</v>
      </c>
      <c r="G62" s="6" t="s">
        <v>347</v>
      </c>
      <c r="H62" s="6" t="s">
        <v>268</v>
      </c>
    </row>
    <row r="63" spans="1:8" x14ac:dyDescent="0.3">
      <c r="A63" s="6" t="s">
        <v>348</v>
      </c>
      <c r="B63" s="6" t="s">
        <v>126</v>
      </c>
      <c r="C63" s="6" t="s">
        <v>43</v>
      </c>
      <c r="D63" s="6" t="s">
        <v>270</v>
      </c>
      <c r="E63" s="6" t="s">
        <v>266</v>
      </c>
      <c r="F63" s="6">
        <v>3</v>
      </c>
      <c r="G63" s="6" t="s">
        <v>347</v>
      </c>
      <c r="H63" s="6" t="s">
        <v>268</v>
      </c>
    </row>
    <row r="64" spans="1:8" x14ac:dyDescent="0.3">
      <c r="A64" s="6" t="s">
        <v>349</v>
      </c>
      <c r="B64" s="6" t="s">
        <v>126</v>
      </c>
      <c r="C64" s="6" t="s">
        <v>272</v>
      </c>
      <c r="D64" s="6" t="s">
        <v>273</v>
      </c>
      <c r="E64" s="6" t="s">
        <v>266</v>
      </c>
      <c r="F64" s="6">
        <v>3</v>
      </c>
      <c r="G64" s="6" t="s">
        <v>347</v>
      </c>
      <c r="H64" s="6" t="s">
        <v>268</v>
      </c>
    </row>
    <row r="65" spans="1:8" x14ac:dyDescent="0.3">
      <c r="A65" s="6" t="s">
        <v>350</v>
      </c>
      <c r="B65" s="6" t="s">
        <v>126</v>
      </c>
      <c r="C65" s="6" t="s">
        <v>46</v>
      </c>
      <c r="D65" s="6" t="s">
        <v>275</v>
      </c>
      <c r="E65" s="6" t="s">
        <v>266</v>
      </c>
      <c r="F65" s="6">
        <v>3</v>
      </c>
      <c r="G65" s="6" t="s">
        <v>347</v>
      </c>
      <c r="H65" s="6" t="s">
        <v>268</v>
      </c>
    </row>
    <row r="66" spans="1:8" x14ac:dyDescent="0.3">
      <c r="A66" s="6" t="s">
        <v>351</v>
      </c>
      <c r="B66" s="6" t="s">
        <v>126</v>
      </c>
      <c r="C66" s="6" t="s">
        <v>277</v>
      </c>
      <c r="D66" s="6" t="s">
        <v>278</v>
      </c>
      <c r="E66" s="6" t="s">
        <v>266</v>
      </c>
      <c r="F66" s="6">
        <v>3</v>
      </c>
      <c r="G66" s="6" t="s">
        <v>347</v>
      </c>
      <c r="H66" s="6" t="s">
        <v>268</v>
      </c>
    </row>
    <row r="67" spans="1:8" x14ac:dyDescent="0.3">
      <c r="A67" s="6" t="s">
        <v>352</v>
      </c>
      <c r="B67" s="6" t="s">
        <v>126</v>
      </c>
      <c r="C67" s="6" t="s">
        <v>48</v>
      </c>
      <c r="D67" s="6" t="s">
        <v>280</v>
      </c>
      <c r="E67" s="6" t="s">
        <v>266</v>
      </c>
      <c r="F67" s="6">
        <v>3</v>
      </c>
      <c r="G67" s="6" t="s">
        <v>347</v>
      </c>
      <c r="H67" s="6" t="s">
        <v>268</v>
      </c>
    </row>
    <row r="68" spans="1:8" x14ac:dyDescent="0.3">
      <c r="A68" s="6" t="s">
        <v>353</v>
      </c>
      <c r="B68" s="6" t="s">
        <v>126</v>
      </c>
      <c r="C68" s="6" t="s">
        <v>49</v>
      </c>
      <c r="D68" s="6" t="s">
        <v>282</v>
      </c>
      <c r="E68" s="6" t="s">
        <v>266</v>
      </c>
      <c r="F68" s="6">
        <v>3</v>
      </c>
      <c r="G68" s="6" t="s">
        <v>347</v>
      </c>
      <c r="H68" s="6" t="s">
        <v>268</v>
      </c>
    </row>
    <row r="69" spans="1:8" x14ac:dyDescent="0.3">
      <c r="A69" s="6" t="s">
        <v>354</v>
      </c>
      <c r="B69" s="6" t="s">
        <v>126</v>
      </c>
      <c r="C69" s="6" t="s">
        <v>50</v>
      </c>
      <c r="D69" s="6" t="s">
        <v>284</v>
      </c>
      <c r="E69" s="6" t="s">
        <v>266</v>
      </c>
      <c r="F69" s="6">
        <v>3</v>
      </c>
      <c r="G69" s="6" t="s">
        <v>347</v>
      </c>
      <c r="H69" s="6" t="s">
        <v>268</v>
      </c>
    </row>
    <row r="70" spans="1:8" x14ac:dyDescent="0.3">
      <c r="A70" s="6" t="s">
        <v>355</v>
      </c>
      <c r="B70" s="6" t="s">
        <v>126</v>
      </c>
      <c r="C70" s="6" t="s">
        <v>286</v>
      </c>
      <c r="D70" s="6" t="s">
        <v>287</v>
      </c>
      <c r="E70" s="6" t="s">
        <v>266</v>
      </c>
      <c r="F70" s="6">
        <v>3</v>
      </c>
      <c r="G70" s="6" t="s">
        <v>347</v>
      </c>
      <c r="H70" s="6" t="s">
        <v>268</v>
      </c>
    </row>
    <row r="71" spans="1:8" x14ac:dyDescent="0.3">
      <c r="A71" s="6" t="s">
        <v>356</v>
      </c>
      <c r="B71" s="6" t="s">
        <v>126</v>
      </c>
      <c r="C71" s="6" t="s">
        <v>289</v>
      </c>
      <c r="D71" s="6" t="s">
        <v>290</v>
      </c>
      <c r="E71" s="6" t="s">
        <v>266</v>
      </c>
      <c r="F71" s="6">
        <v>3</v>
      </c>
      <c r="G71" s="6" t="s">
        <v>347</v>
      </c>
      <c r="H71" s="6" t="s">
        <v>268</v>
      </c>
    </row>
    <row r="72" spans="1:8" x14ac:dyDescent="0.3">
      <c r="A72" s="6" t="s">
        <v>357</v>
      </c>
      <c r="B72" s="6" t="s">
        <v>133</v>
      </c>
      <c r="C72" s="6" t="s">
        <v>264</v>
      </c>
      <c r="D72" s="6" t="s">
        <v>265</v>
      </c>
      <c r="E72" s="6" t="s">
        <v>266</v>
      </c>
      <c r="F72" s="6">
        <v>3</v>
      </c>
      <c r="G72" s="6" t="s">
        <v>358</v>
      </c>
      <c r="H72" s="6" t="s">
        <v>268</v>
      </c>
    </row>
    <row r="73" spans="1:8" x14ac:dyDescent="0.3">
      <c r="A73" s="6" t="s">
        <v>359</v>
      </c>
      <c r="B73" s="6" t="s">
        <v>133</v>
      </c>
      <c r="C73" s="6" t="s">
        <v>43</v>
      </c>
      <c r="D73" s="6" t="s">
        <v>270</v>
      </c>
      <c r="E73" s="6" t="s">
        <v>266</v>
      </c>
      <c r="F73" s="6">
        <v>3</v>
      </c>
      <c r="G73" s="6" t="s">
        <v>358</v>
      </c>
      <c r="H73" s="6" t="s">
        <v>268</v>
      </c>
    </row>
    <row r="74" spans="1:8" x14ac:dyDescent="0.3">
      <c r="A74" s="6" t="s">
        <v>360</v>
      </c>
      <c r="B74" s="6" t="s">
        <v>133</v>
      </c>
      <c r="C74" s="6" t="s">
        <v>272</v>
      </c>
      <c r="D74" s="6" t="s">
        <v>273</v>
      </c>
      <c r="E74" s="6" t="s">
        <v>266</v>
      </c>
      <c r="F74" s="6">
        <v>3</v>
      </c>
      <c r="G74" s="6" t="s">
        <v>358</v>
      </c>
      <c r="H74" s="6" t="s">
        <v>268</v>
      </c>
    </row>
    <row r="75" spans="1:8" x14ac:dyDescent="0.3">
      <c r="A75" s="6" t="s">
        <v>361</v>
      </c>
      <c r="B75" s="6" t="s">
        <v>133</v>
      </c>
      <c r="C75" s="6" t="s">
        <v>46</v>
      </c>
      <c r="D75" s="6" t="s">
        <v>275</v>
      </c>
      <c r="E75" s="6" t="s">
        <v>266</v>
      </c>
      <c r="F75" s="6">
        <v>3</v>
      </c>
      <c r="G75" s="6" t="s">
        <v>358</v>
      </c>
      <c r="H75" s="6" t="s">
        <v>268</v>
      </c>
    </row>
    <row r="76" spans="1:8" x14ac:dyDescent="0.3">
      <c r="A76" s="6" t="s">
        <v>362</v>
      </c>
      <c r="B76" s="6" t="s">
        <v>133</v>
      </c>
      <c r="C76" s="6" t="s">
        <v>277</v>
      </c>
      <c r="D76" s="6" t="s">
        <v>278</v>
      </c>
      <c r="E76" s="6" t="s">
        <v>266</v>
      </c>
      <c r="F76" s="6">
        <v>3</v>
      </c>
      <c r="G76" s="6" t="s">
        <v>358</v>
      </c>
      <c r="H76" s="6" t="s">
        <v>268</v>
      </c>
    </row>
    <row r="77" spans="1:8" x14ac:dyDescent="0.3">
      <c r="A77" s="6" t="s">
        <v>363</v>
      </c>
      <c r="B77" s="6" t="s">
        <v>133</v>
      </c>
      <c r="C77" s="6" t="s">
        <v>48</v>
      </c>
      <c r="D77" s="6" t="s">
        <v>280</v>
      </c>
      <c r="E77" s="6" t="s">
        <v>266</v>
      </c>
      <c r="F77" s="6">
        <v>3</v>
      </c>
      <c r="G77" s="6" t="s">
        <v>358</v>
      </c>
      <c r="H77" s="6" t="s">
        <v>268</v>
      </c>
    </row>
    <row r="78" spans="1:8" x14ac:dyDescent="0.3">
      <c r="A78" s="6" t="s">
        <v>364</v>
      </c>
      <c r="B78" s="6" t="s">
        <v>133</v>
      </c>
      <c r="C78" s="6" t="s">
        <v>49</v>
      </c>
      <c r="D78" s="6" t="s">
        <v>282</v>
      </c>
      <c r="E78" s="6" t="s">
        <v>266</v>
      </c>
      <c r="F78" s="6">
        <v>3</v>
      </c>
      <c r="G78" s="6" t="s">
        <v>358</v>
      </c>
      <c r="H78" s="6" t="s">
        <v>268</v>
      </c>
    </row>
    <row r="79" spans="1:8" x14ac:dyDescent="0.3">
      <c r="A79" s="6" t="s">
        <v>365</v>
      </c>
      <c r="B79" s="6" t="s">
        <v>133</v>
      </c>
      <c r="C79" s="6" t="s">
        <v>50</v>
      </c>
      <c r="D79" s="6" t="s">
        <v>284</v>
      </c>
      <c r="E79" s="6" t="s">
        <v>266</v>
      </c>
      <c r="F79" s="6">
        <v>3</v>
      </c>
      <c r="G79" s="6" t="s">
        <v>358</v>
      </c>
      <c r="H79" s="6" t="s">
        <v>268</v>
      </c>
    </row>
    <row r="80" spans="1:8" x14ac:dyDescent="0.3">
      <c r="A80" s="6" t="s">
        <v>366</v>
      </c>
      <c r="B80" s="6" t="s">
        <v>133</v>
      </c>
      <c r="C80" s="6" t="s">
        <v>286</v>
      </c>
      <c r="D80" s="6" t="s">
        <v>287</v>
      </c>
      <c r="E80" s="6" t="s">
        <v>266</v>
      </c>
      <c r="F80" s="6">
        <v>3</v>
      </c>
      <c r="G80" s="6" t="s">
        <v>358</v>
      </c>
      <c r="H80" s="6" t="s">
        <v>268</v>
      </c>
    </row>
    <row r="81" spans="1:8" x14ac:dyDescent="0.3">
      <c r="A81" s="6" t="s">
        <v>367</v>
      </c>
      <c r="B81" s="6" t="s">
        <v>133</v>
      </c>
      <c r="C81" s="6" t="s">
        <v>289</v>
      </c>
      <c r="D81" s="6" t="s">
        <v>290</v>
      </c>
      <c r="E81" s="6" t="s">
        <v>266</v>
      </c>
      <c r="F81" s="6">
        <v>3</v>
      </c>
      <c r="G81" s="6" t="s">
        <v>358</v>
      </c>
      <c r="H81" s="6" t="s">
        <v>268</v>
      </c>
    </row>
    <row r="82" spans="1:8" x14ac:dyDescent="0.3">
      <c r="A82" s="6" t="s">
        <v>368</v>
      </c>
      <c r="B82" s="6" t="s">
        <v>138</v>
      </c>
      <c r="C82" s="6" t="s">
        <v>264</v>
      </c>
      <c r="D82" s="6" t="s">
        <v>265</v>
      </c>
      <c r="E82" s="6" t="s">
        <v>266</v>
      </c>
      <c r="F82" s="6">
        <v>3</v>
      </c>
      <c r="G82" s="6" t="s">
        <v>369</v>
      </c>
      <c r="H82" s="6" t="s">
        <v>268</v>
      </c>
    </row>
    <row r="83" spans="1:8" x14ac:dyDescent="0.3">
      <c r="A83" s="6" t="s">
        <v>370</v>
      </c>
      <c r="B83" s="6" t="s">
        <v>138</v>
      </c>
      <c r="C83" s="6" t="s">
        <v>43</v>
      </c>
      <c r="D83" s="6" t="s">
        <v>270</v>
      </c>
      <c r="E83" s="6" t="s">
        <v>266</v>
      </c>
      <c r="F83" s="6">
        <v>3</v>
      </c>
      <c r="G83" s="6" t="s">
        <v>369</v>
      </c>
      <c r="H83" s="6" t="s">
        <v>268</v>
      </c>
    </row>
    <row r="84" spans="1:8" x14ac:dyDescent="0.3">
      <c r="A84" s="6" t="s">
        <v>371</v>
      </c>
      <c r="B84" s="6" t="s">
        <v>138</v>
      </c>
      <c r="C84" s="6" t="s">
        <v>272</v>
      </c>
      <c r="D84" s="6" t="s">
        <v>273</v>
      </c>
      <c r="E84" s="6" t="s">
        <v>266</v>
      </c>
      <c r="F84" s="6">
        <v>3</v>
      </c>
      <c r="G84" s="6" t="s">
        <v>369</v>
      </c>
      <c r="H84" s="6" t="s">
        <v>268</v>
      </c>
    </row>
    <row r="85" spans="1:8" x14ac:dyDescent="0.3">
      <c r="A85" s="6" t="s">
        <v>372</v>
      </c>
      <c r="B85" s="6" t="s">
        <v>138</v>
      </c>
      <c r="C85" s="6" t="s">
        <v>46</v>
      </c>
      <c r="D85" s="6" t="s">
        <v>275</v>
      </c>
      <c r="E85" s="6" t="s">
        <v>266</v>
      </c>
      <c r="F85" s="6">
        <v>3</v>
      </c>
      <c r="G85" s="6" t="s">
        <v>369</v>
      </c>
      <c r="H85" s="6" t="s">
        <v>268</v>
      </c>
    </row>
    <row r="86" spans="1:8" x14ac:dyDescent="0.3">
      <c r="A86" s="6" t="s">
        <v>373</v>
      </c>
      <c r="B86" s="6" t="s">
        <v>138</v>
      </c>
      <c r="C86" s="6" t="s">
        <v>277</v>
      </c>
      <c r="D86" s="6" t="s">
        <v>278</v>
      </c>
      <c r="E86" s="6" t="s">
        <v>266</v>
      </c>
      <c r="F86" s="6">
        <v>3</v>
      </c>
      <c r="G86" s="6" t="s">
        <v>369</v>
      </c>
      <c r="H86" s="6" t="s">
        <v>268</v>
      </c>
    </row>
    <row r="87" spans="1:8" x14ac:dyDescent="0.3">
      <c r="A87" s="6" t="s">
        <v>374</v>
      </c>
      <c r="B87" s="6" t="s">
        <v>138</v>
      </c>
      <c r="C87" s="6" t="s">
        <v>48</v>
      </c>
      <c r="D87" s="6" t="s">
        <v>280</v>
      </c>
      <c r="E87" s="6" t="s">
        <v>266</v>
      </c>
      <c r="F87" s="6">
        <v>3</v>
      </c>
      <c r="G87" s="6" t="s">
        <v>369</v>
      </c>
      <c r="H87" s="6" t="s">
        <v>268</v>
      </c>
    </row>
    <row r="88" spans="1:8" x14ac:dyDescent="0.3">
      <c r="A88" s="6" t="s">
        <v>375</v>
      </c>
      <c r="B88" s="6" t="s">
        <v>138</v>
      </c>
      <c r="C88" s="6" t="s">
        <v>49</v>
      </c>
      <c r="D88" s="6" t="s">
        <v>282</v>
      </c>
      <c r="E88" s="6" t="s">
        <v>266</v>
      </c>
      <c r="F88" s="6">
        <v>3</v>
      </c>
      <c r="G88" s="6" t="s">
        <v>369</v>
      </c>
      <c r="H88" s="6" t="s">
        <v>268</v>
      </c>
    </row>
    <row r="89" spans="1:8" x14ac:dyDescent="0.3">
      <c r="A89" s="6" t="s">
        <v>376</v>
      </c>
      <c r="B89" s="6" t="s">
        <v>138</v>
      </c>
      <c r="C89" s="6" t="s">
        <v>50</v>
      </c>
      <c r="D89" s="6" t="s">
        <v>284</v>
      </c>
      <c r="E89" s="6" t="s">
        <v>266</v>
      </c>
      <c r="F89" s="6">
        <v>3</v>
      </c>
      <c r="G89" s="6" t="s">
        <v>369</v>
      </c>
      <c r="H89" s="6" t="s">
        <v>268</v>
      </c>
    </row>
    <row r="90" spans="1:8" x14ac:dyDescent="0.3">
      <c r="A90" s="6" t="s">
        <v>377</v>
      </c>
      <c r="B90" s="6" t="s">
        <v>138</v>
      </c>
      <c r="C90" s="6" t="s">
        <v>286</v>
      </c>
      <c r="D90" s="6" t="s">
        <v>287</v>
      </c>
      <c r="E90" s="6" t="s">
        <v>266</v>
      </c>
      <c r="F90" s="6">
        <v>3</v>
      </c>
      <c r="G90" s="6" t="s">
        <v>369</v>
      </c>
      <c r="H90" s="6" t="s">
        <v>268</v>
      </c>
    </row>
    <row r="91" spans="1:8" x14ac:dyDescent="0.3">
      <c r="A91" s="6" t="s">
        <v>378</v>
      </c>
      <c r="B91" s="6" t="s">
        <v>138</v>
      </c>
      <c r="C91" s="6" t="s">
        <v>289</v>
      </c>
      <c r="D91" s="6" t="s">
        <v>290</v>
      </c>
      <c r="E91" s="6" t="s">
        <v>266</v>
      </c>
      <c r="F91" s="6">
        <v>3</v>
      </c>
      <c r="G91" s="6" t="s">
        <v>369</v>
      </c>
      <c r="H91" s="6" t="s">
        <v>268</v>
      </c>
    </row>
    <row r="92" spans="1:8" x14ac:dyDescent="0.3">
      <c r="A92" s="6" t="s">
        <v>379</v>
      </c>
      <c r="B92" s="6" t="s">
        <v>144</v>
      </c>
      <c r="C92" s="6" t="s">
        <v>264</v>
      </c>
      <c r="D92" s="6" t="s">
        <v>265</v>
      </c>
      <c r="E92" s="6" t="s">
        <v>266</v>
      </c>
      <c r="F92" s="6">
        <v>3</v>
      </c>
      <c r="G92" s="6" t="s">
        <v>380</v>
      </c>
      <c r="H92" s="6" t="s">
        <v>268</v>
      </c>
    </row>
    <row r="93" spans="1:8" x14ac:dyDescent="0.3">
      <c r="A93" s="6" t="s">
        <v>381</v>
      </c>
      <c r="B93" s="6" t="s">
        <v>144</v>
      </c>
      <c r="C93" s="6" t="s">
        <v>43</v>
      </c>
      <c r="D93" s="6" t="s">
        <v>270</v>
      </c>
      <c r="E93" s="6" t="s">
        <v>266</v>
      </c>
      <c r="F93" s="6">
        <v>3</v>
      </c>
      <c r="G93" s="6" t="s">
        <v>380</v>
      </c>
      <c r="H93" s="6" t="s">
        <v>268</v>
      </c>
    </row>
    <row r="94" spans="1:8" x14ac:dyDescent="0.3">
      <c r="A94" s="6" t="s">
        <v>382</v>
      </c>
      <c r="B94" s="6" t="s">
        <v>144</v>
      </c>
      <c r="C94" s="6" t="s">
        <v>272</v>
      </c>
      <c r="D94" s="6" t="s">
        <v>273</v>
      </c>
      <c r="E94" s="6" t="s">
        <v>266</v>
      </c>
      <c r="F94" s="6">
        <v>3</v>
      </c>
      <c r="G94" s="6" t="s">
        <v>380</v>
      </c>
      <c r="H94" s="6" t="s">
        <v>268</v>
      </c>
    </row>
    <row r="95" spans="1:8" x14ac:dyDescent="0.3">
      <c r="A95" s="6" t="s">
        <v>383</v>
      </c>
      <c r="B95" s="6" t="s">
        <v>144</v>
      </c>
      <c r="C95" s="6" t="s">
        <v>46</v>
      </c>
      <c r="D95" s="6" t="s">
        <v>275</v>
      </c>
      <c r="E95" s="6" t="s">
        <v>266</v>
      </c>
      <c r="F95" s="6">
        <v>3</v>
      </c>
      <c r="G95" s="6" t="s">
        <v>380</v>
      </c>
      <c r="H95" s="6" t="s">
        <v>268</v>
      </c>
    </row>
    <row r="96" spans="1:8" x14ac:dyDescent="0.3">
      <c r="A96" s="6" t="s">
        <v>384</v>
      </c>
      <c r="B96" s="6" t="s">
        <v>144</v>
      </c>
      <c r="C96" s="6" t="s">
        <v>277</v>
      </c>
      <c r="D96" s="6" t="s">
        <v>278</v>
      </c>
      <c r="E96" s="6" t="s">
        <v>266</v>
      </c>
      <c r="F96" s="6">
        <v>3</v>
      </c>
      <c r="G96" s="6" t="s">
        <v>380</v>
      </c>
      <c r="H96" s="6" t="s">
        <v>268</v>
      </c>
    </row>
    <row r="97" spans="1:8" x14ac:dyDescent="0.3">
      <c r="A97" s="6" t="s">
        <v>385</v>
      </c>
      <c r="B97" s="6" t="s">
        <v>144</v>
      </c>
      <c r="C97" s="6" t="s">
        <v>48</v>
      </c>
      <c r="D97" s="6" t="s">
        <v>280</v>
      </c>
      <c r="E97" s="6" t="s">
        <v>266</v>
      </c>
      <c r="F97" s="6">
        <v>3</v>
      </c>
      <c r="G97" s="6" t="s">
        <v>380</v>
      </c>
      <c r="H97" s="6" t="s">
        <v>268</v>
      </c>
    </row>
    <row r="98" spans="1:8" x14ac:dyDescent="0.3">
      <c r="A98" s="6" t="s">
        <v>386</v>
      </c>
      <c r="B98" s="6" t="s">
        <v>144</v>
      </c>
      <c r="C98" s="6" t="s">
        <v>49</v>
      </c>
      <c r="D98" s="6" t="s">
        <v>282</v>
      </c>
      <c r="E98" s="6" t="s">
        <v>266</v>
      </c>
      <c r="F98" s="6">
        <v>3</v>
      </c>
      <c r="G98" s="6" t="s">
        <v>380</v>
      </c>
      <c r="H98" s="6" t="s">
        <v>268</v>
      </c>
    </row>
    <row r="99" spans="1:8" x14ac:dyDescent="0.3">
      <c r="A99" s="6" t="s">
        <v>387</v>
      </c>
      <c r="B99" s="6" t="s">
        <v>144</v>
      </c>
      <c r="C99" s="6" t="s">
        <v>50</v>
      </c>
      <c r="D99" s="6" t="s">
        <v>284</v>
      </c>
      <c r="E99" s="6" t="s">
        <v>266</v>
      </c>
      <c r="F99" s="6">
        <v>3</v>
      </c>
      <c r="G99" s="6" t="s">
        <v>380</v>
      </c>
      <c r="H99" s="6" t="s">
        <v>268</v>
      </c>
    </row>
    <row r="100" spans="1:8" x14ac:dyDescent="0.3">
      <c r="A100" s="6" t="s">
        <v>388</v>
      </c>
      <c r="B100" s="6" t="s">
        <v>144</v>
      </c>
      <c r="C100" s="6" t="s">
        <v>286</v>
      </c>
      <c r="D100" s="6" t="s">
        <v>287</v>
      </c>
      <c r="E100" s="6" t="s">
        <v>266</v>
      </c>
      <c r="F100" s="6">
        <v>3</v>
      </c>
      <c r="G100" s="6" t="s">
        <v>380</v>
      </c>
      <c r="H100" s="6" t="s">
        <v>268</v>
      </c>
    </row>
    <row r="101" spans="1:8" x14ac:dyDescent="0.3">
      <c r="A101" s="6" t="s">
        <v>389</v>
      </c>
      <c r="B101" s="6" t="s">
        <v>144</v>
      </c>
      <c r="C101" s="6" t="s">
        <v>289</v>
      </c>
      <c r="D101" s="6" t="s">
        <v>290</v>
      </c>
      <c r="E101" s="6" t="s">
        <v>266</v>
      </c>
      <c r="F101" s="6">
        <v>3</v>
      </c>
      <c r="G101" s="6" t="s">
        <v>380</v>
      </c>
      <c r="H101" s="6" t="s">
        <v>268</v>
      </c>
    </row>
    <row r="102" spans="1:8" x14ac:dyDescent="0.3">
      <c r="A102" s="6" t="s">
        <v>390</v>
      </c>
      <c r="B102" s="6" t="s">
        <v>150</v>
      </c>
      <c r="C102" s="6" t="s">
        <v>264</v>
      </c>
      <c r="D102" s="6" t="s">
        <v>265</v>
      </c>
      <c r="E102" s="6" t="s">
        <v>266</v>
      </c>
      <c r="F102" s="6">
        <v>3</v>
      </c>
      <c r="G102" s="6" t="s">
        <v>391</v>
      </c>
      <c r="H102" s="6" t="s">
        <v>268</v>
      </c>
    </row>
    <row r="103" spans="1:8" x14ac:dyDescent="0.3">
      <c r="A103" s="6" t="s">
        <v>392</v>
      </c>
      <c r="B103" s="6" t="s">
        <v>150</v>
      </c>
      <c r="C103" s="6" t="s">
        <v>43</v>
      </c>
      <c r="D103" s="6" t="s">
        <v>270</v>
      </c>
      <c r="E103" s="6" t="s">
        <v>266</v>
      </c>
      <c r="F103" s="6">
        <v>3</v>
      </c>
      <c r="G103" s="6" t="s">
        <v>391</v>
      </c>
      <c r="H103" s="6" t="s">
        <v>268</v>
      </c>
    </row>
    <row r="104" spans="1:8" x14ac:dyDescent="0.3">
      <c r="A104" s="6" t="s">
        <v>393</v>
      </c>
      <c r="B104" s="6" t="s">
        <v>150</v>
      </c>
      <c r="C104" s="6" t="s">
        <v>272</v>
      </c>
      <c r="D104" s="6" t="s">
        <v>273</v>
      </c>
      <c r="E104" s="6" t="s">
        <v>266</v>
      </c>
      <c r="F104" s="6">
        <v>3</v>
      </c>
      <c r="G104" s="6" t="s">
        <v>391</v>
      </c>
      <c r="H104" s="6" t="s">
        <v>268</v>
      </c>
    </row>
    <row r="105" spans="1:8" x14ac:dyDescent="0.3">
      <c r="A105" s="6" t="s">
        <v>394</v>
      </c>
      <c r="B105" s="6" t="s">
        <v>150</v>
      </c>
      <c r="C105" s="6" t="s">
        <v>46</v>
      </c>
      <c r="D105" s="6" t="s">
        <v>275</v>
      </c>
      <c r="E105" s="6" t="s">
        <v>266</v>
      </c>
      <c r="F105" s="6">
        <v>3</v>
      </c>
      <c r="G105" s="6" t="s">
        <v>391</v>
      </c>
      <c r="H105" s="6" t="s">
        <v>268</v>
      </c>
    </row>
    <row r="106" spans="1:8" x14ac:dyDescent="0.3">
      <c r="A106" s="6" t="s">
        <v>395</v>
      </c>
      <c r="B106" s="6" t="s">
        <v>150</v>
      </c>
      <c r="C106" s="6" t="s">
        <v>277</v>
      </c>
      <c r="D106" s="6" t="s">
        <v>278</v>
      </c>
      <c r="E106" s="6" t="s">
        <v>266</v>
      </c>
      <c r="F106" s="6">
        <v>3</v>
      </c>
      <c r="G106" s="6" t="s">
        <v>391</v>
      </c>
      <c r="H106" s="6" t="s">
        <v>268</v>
      </c>
    </row>
    <row r="107" spans="1:8" x14ac:dyDescent="0.3">
      <c r="A107" s="6" t="s">
        <v>396</v>
      </c>
      <c r="B107" s="6" t="s">
        <v>150</v>
      </c>
      <c r="C107" s="6" t="s">
        <v>48</v>
      </c>
      <c r="D107" s="6" t="s">
        <v>280</v>
      </c>
      <c r="E107" s="6" t="s">
        <v>266</v>
      </c>
      <c r="F107" s="6">
        <v>3</v>
      </c>
      <c r="G107" s="6" t="s">
        <v>391</v>
      </c>
      <c r="H107" s="6" t="s">
        <v>268</v>
      </c>
    </row>
    <row r="108" spans="1:8" x14ac:dyDescent="0.3">
      <c r="A108" s="6" t="s">
        <v>397</v>
      </c>
      <c r="B108" s="6" t="s">
        <v>150</v>
      </c>
      <c r="C108" s="6" t="s">
        <v>49</v>
      </c>
      <c r="D108" s="6" t="s">
        <v>282</v>
      </c>
      <c r="E108" s="6" t="s">
        <v>266</v>
      </c>
      <c r="F108" s="6">
        <v>3</v>
      </c>
      <c r="G108" s="6" t="s">
        <v>391</v>
      </c>
      <c r="H108" s="6" t="s">
        <v>268</v>
      </c>
    </row>
    <row r="109" spans="1:8" x14ac:dyDescent="0.3">
      <c r="A109" s="6" t="s">
        <v>398</v>
      </c>
      <c r="B109" s="6" t="s">
        <v>150</v>
      </c>
      <c r="C109" s="6" t="s">
        <v>50</v>
      </c>
      <c r="D109" s="6" t="s">
        <v>284</v>
      </c>
      <c r="E109" s="6" t="s">
        <v>266</v>
      </c>
      <c r="F109" s="6">
        <v>3</v>
      </c>
      <c r="G109" s="6" t="s">
        <v>391</v>
      </c>
      <c r="H109" s="6" t="s">
        <v>268</v>
      </c>
    </row>
    <row r="110" spans="1:8" x14ac:dyDescent="0.3">
      <c r="A110" s="6" t="s">
        <v>399</v>
      </c>
      <c r="B110" s="6" t="s">
        <v>150</v>
      </c>
      <c r="C110" s="6" t="s">
        <v>286</v>
      </c>
      <c r="D110" s="6" t="s">
        <v>287</v>
      </c>
      <c r="E110" s="6" t="s">
        <v>266</v>
      </c>
      <c r="F110" s="6">
        <v>3</v>
      </c>
      <c r="G110" s="6" t="s">
        <v>391</v>
      </c>
      <c r="H110" s="6" t="s">
        <v>268</v>
      </c>
    </row>
    <row r="111" spans="1:8" x14ac:dyDescent="0.3">
      <c r="A111" s="6" t="s">
        <v>400</v>
      </c>
      <c r="B111" s="6" t="s">
        <v>150</v>
      </c>
      <c r="C111" s="6" t="s">
        <v>289</v>
      </c>
      <c r="D111" s="6" t="s">
        <v>290</v>
      </c>
      <c r="E111" s="6" t="s">
        <v>266</v>
      </c>
      <c r="F111" s="6">
        <v>3</v>
      </c>
      <c r="G111" s="6" t="s">
        <v>391</v>
      </c>
      <c r="H111" s="6" t="s">
        <v>268</v>
      </c>
    </row>
    <row r="112" spans="1:8" x14ac:dyDescent="0.3">
      <c r="A112" s="6" t="s">
        <v>401</v>
      </c>
      <c r="B112" s="6" t="s">
        <v>155</v>
      </c>
      <c r="C112" s="6" t="s">
        <v>264</v>
      </c>
      <c r="D112" s="6" t="s">
        <v>265</v>
      </c>
      <c r="E112" s="6" t="s">
        <v>266</v>
      </c>
      <c r="F112" s="6">
        <v>3</v>
      </c>
      <c r="G112" s="6" t="s">
        <v>402</v>
      </c>
      <c r="H112" s="6" t="s">
        <v>268</v>
      </c>
    </row>
    <row r="113" spans="1:8" x14ac:dyDescent="0.3">
      <c r="A113" s="6" t="s">
        <v>403</v>
      </c>
      <c r="B113" s="6" t="s">
        <v>155</v>
      </c>
      <c r="C113" s="6" t="s">
        <v>43</v>
      </c>
      <c r="D113" s="6" t="s">
        <v>270</v>
      </c>
      <c r="E113" s="6" t="s">
        <v>266</v>
      </c>
      <c r="F113" s="6">
        <v>3</v>
      </c>
      <c r="G113" s="6" t="s">
        <v>402</v>
      </c>
      <c r="H113" s="6" t="s">
        <v>268</v>
      </c>
    </row>
    <row r="114" spans="1:8" x14ac:dyDescent="0.3">
      <c r="A114" s="6" t="s">
        <v>404</v>
      </c>
      <c r="B114" s="6" t="s">
        <v>155</v>
      </c>
      <c r="C114" s="6" t="s">
        <v>272</v>
      </c>
      <c r="D114" s="6" t="s">
        <v>273</v>
      </c>
      <c r="E114" s="6" t="s">
        <v>266</v>
      </c>
      <c r="F114" s="6">
        <v>3</v>
      </c>
      <c r="G114" s="6" t="s">
        <v>402</v>
      </c>
      <c r="H114" s="6" t="s">
        <v>268</v>
      </c>
    </row>
    <row r="115" spans="1:8" x14ac:dyDescent="0.3">
      <c r="A115" s="6" t="s">
        <v>405</v>
      </c>
      <c r="B115" s="6" t="s">
        <v>155</v>
      </c>
      <c r="C115" s="6" t="s">
        <v>46</v>
      </c>
      <c r="D115" s="6" t="s">
        <v>275</v>
      </c>
      <c r="E115" s="6" t="s">
        <v>266</v>
      </c>
      <c r="F115" s="6">
        <v>3</v>
      </c>
      <c r="G115" s="6" t="s">
        <v>402</v>
      </c>
      <c r="H115" s="6" t="s">
        <v>268</v>
      </c>
    </row>
    <row r="116" spans="1:8" x14ac:dyDescent="0.3">
      <c r="A116" s="6" t="s">
        <v>406</v>
      </c>
      <c r="B116" s="6" t="s">
        <v>155</v>
      </c>
      <c r="C116" s="6" t="s">
        <v>277</v>
      </c>
      <c r="D116" s="6" t="s">
        <v>278</v>
      </c>
      <c r="E116" s="6" t="s">
        <v>266</v>
      </c>
      <c r="F116" s="6">
        <v>3</v>
      </c>
      <c r="G116" s="6" t="s">
        <v>402</v>
      </c>
      <c r="H116" s="6" t="s">
        <v>268</v>
      </c>
    </row>
    <row r="117" spans="1:8" x14ac:dyDescent="0.3">
      <c r="A117" s="6" t="s">
        <v>407</v>
      </c>
      <c r="B117" s="6" t="s">
        <v>155</v>
      </c>
      <c r="C117" s="6" t="s">
        <v>48</v>
      </c>
      <c r="D117" s="6" t="s">
        <v>280</v>
      </c>
      <c r="E117" s="6" t="s">
        <v>266</v>
      </c>
      <c r="F117" s="6">
        <v>3</v>
      </c>
      <c r="G117" s="6" t="s">
        <v>402</v>
      </c>
      <c r="H117" s="6" t="s">
        <v>268</v>
      </c>
    </row>
    <row r="118" spans="1:8" x14ac:dyDescent="0.3">
      <c r="A118" s="6" t="s">
        <v>408</v>
      </c>
      <c r="B118" s="6" t="s">
        <v>155</v>
      </c>
      <c r="C118" s="6" t="s">
        <v>49</v>
      </c>
      <c r="D118" s="6" t="s">
        <v>282</v>
      </c>
      <c r="E118" s="6" t="s">
        <v>266</v>
      </c>
      <c r="F118" s="6">
        <v>3</v>
      </c>
      <c r="G118" s="6" t="s">
        <v>402</v>
      </c>
      <c r="H118" s="6" t="s">
        <v>268</v>
      </c>
    </row>
    <row r="119" spans="1:8" x14ac:dyDescent="0.3">
      <c r="A119" s="6" t="s">
        <v>409</v>
      </c>
      <c r="B119" s="6" t="s">
        <v>155</v>
      </c>
      <c r="C119" s="6" t="s">
        <v>50</v>
      </c>
      <c r="D119" s="6" t="s">
        <v>284</v>
      </c>
      <c r="E119" s="6" t="s">
        <v>266</v>
      </c>
      <c r="F119" s="6">
        <v>3</v>
      </c>
      <c r="G119" s="6" t="s">
        <v>402</v>
      </c>
      <c r="H119" s="6" t="s">
        <v>268</v>
      </c>
    </row>
    <row r="120" spans="1:8" x14ac:dyDescent="0.3">
      <c r="A120" s="6" t="s">
        <v>410</v>
      </c>
      <c r="B120" s="6" t="s">
        <v>155</v>
      </c>
      <c r="C120" s="6" t="s">
        <v>286</v>
      </c>
      <c r="D120" s="6" t="s">
        <v>287</v>
      </c>
      <c r="E120" s="6" t="s">
        <v>266</v>
      </c>
      <c r="F120" s="6">
        <v>3</v>
      </c>
      <c r="G120" s="6" t="s">
        <v>402</v>
      </c>
      <c r="H120" s="6" t="s">
        <v>268</v>
      </c>
    </row>
    <row r="121" spans="1:8" x14ac:dyDescent="0.3">
      <c r="A121" s="6" t="s">
        <v>411</v>
      </c>
      <c r="B121" s="6" t="s">
        <v>155</v>
      </c>
      <c r="C121" s="6" t="s">
        <v>289</v>
      </c>
      <c r="D121" s="6" t="s">
        <v>290</v>
      </c>
      <c r="E121" s="6" t="s">
        <v>266</v>
      </c>
      <c r="F121" s="6">
        <v>3</v>
      </c>
      <c r="G121" s="6" t="s">
        <v>402</v>
      </c>
      <c r="H121" s="6" t="s">
        <v>268</v>
      </c>
    </row>
    <row r="122" spans="1:8" x14ac:dyDescent="0.3">
      <c r="A122" s="6" t="s">
        <v>412</v>
      </c>
      <c r="B122" s="6" t="s">
        <v>159</v>
      </c>
      <c r="C122" s="6" t="s">
        <v>264</v>
      </c>
      <c r="D122" s="6" t="s">
        <v>265</v>
      </c>
      <c r="E122" s="6" t="s">
        <v>266</v>
      </c>
      <c r="F122" s="6">
        <v>3</v>
      </c>
      <c r="G122" s="6" t="s">
        <v>413</v>
      </c>
      <c r="H122" s="6" t="s">
        <v>268</v>
      </c>
    </row>
    <row r="123" spans="1:8" x14ac:dyDescent="0.3">
      <c r="A123" s="6" t="s">
        <v>414</v>
      </c>
      <c r="B123" s="6" t="s">
        <v>159</v>
      </c>
      <c r="C123" s="6" t="s">
        <v>43</v>
      </c>
      <c r="D123" s="6" t="s">
        <v>270</v>
      </c>
      <c r="E123" s="6" t="s">
        <v>266</v>
      </c>
      <c r="F123" s="6">
        <v>3</v>
      </c>
      <c r="G123" s="6" t="s">
        <v>413</v>
      </c>
      <c r="H123" s="6" t="s">
        <v>268</v>
      </c>
    </row>
    <row r="124" spans="1:8" x14ac:dyDescent="0.3">
      <c r="A124" s="6" t="s">
        <v>415</v>
      </c>
      <c r="B124" s="6" t="s">
        <v>159</v>
      </c>
      <c r="C124" s="6" t="s">
        <v>272</v>
      </c>
      <c r="D124" s="6" t="s">
        <v>273</v>
      </c>
      <c r="E124" s="6" t="s">
        <v>266</v>
      </c>
      <c r="F124" s="6">
        <v>3</v>
      </c>
      <c r="G124" s="6" t="s">
        <v>413</v>
      </c>
      <c r="H124" s="6" t="s">
        <v>268</v>
      </c>
    </row>
    <row r="125" spans="1:8" x14ac:dyDescent="0.3">
      <c r="A125" s="6" t="s">
        <v>416</v>
      </c>
      <c r="B125" s="6" t="s">
        <v>159</v>
      </c>
      <c r="C125" s="6" t="s">
        <v>46</v>
      </c>
      <c r="D125" s="6" t="s">
        <v>275</v>
      </c>
      <c r="E125" s="6" t="s">
        <v>266</v>
      </c>
      <c r="F125" s="6">
        <v>3</v>
      </c>
      <c r="G125" s="6" t="s">
        <v>413</v>
      </c>
      <c r="H125" s="6" t="s">
        <v>268</v>
      </c>
    </row>
    <row r="126" spans="1:8" x14ac:dyDescent="0.3">
      <c r="A126" s="6" t="s">
        <v>417</v>
      </c>
      <c r="B126" s="6" t="s">
        <v>159</v>
      </c>
      <c r="C126" s="6" t="s">
        <v>277</v>
      </c>
      <c r="D126" s="6" t="s">
        <v>278</v>
      </c>
      <c r="E126" s="6" t="s">
        <v>266</v>
      </c>
      <c r="F126" s="6">
        <v>3</v>
      </c>
      <c r="G126" s="6" t="s">
        <v>413</v>
      </c>
      <c r="H126" s="6" t="s">
        <v>268</v>
      </c>
    </row>
    <row r="127" spans="1:8" x14ac:dyDescent="0.3">
      <c r="A127" s="6" t="s">
        <v>418</v>
      </c>
      <c r="B127" s="6" t="s">
        <v>159</v>
      </c>
      <c r="C127" s="6" t="s">
        <v>48</v>
      </c>
      <c r="D127" s="6" t="s">
        <v>280</v>
      </c>
      <c r="E127" s="6" t="s">
        <v>266</v>
      </c>
      <c r="F127" s="6">
        <v>3</v>
      </c>
      <c r="G127" s="6" t="s">
        <v>413</v>
      </c>
      <c r="H127" s="6" t="s">
        <v>268</v>
      </c>
    </row>
    <row r="128" spans="1:8" x14ac:dyDescent="0.3">
      <c r="A128" s="6" t="s">
        <v>419</v>
      </c>
      <c r="B128" s="6" t="s">
        <v>159</v>
      </c>
      <c r="C128" s="6" t="s">
        <v>49</v>
      </c>
      <c r="D128" s="6" t="s">
        <v>282</v>
      </c>
      <c r="E128" s="6" t="s">
        <v>266</v>
      </c>
      <c r="F128" s="6">
        <v>3</v>
      </c>
      <c r="G128" s="6" t="s">
        <v>413</v>
      </c>
      <c r="H128" s="6" t="s">
        <v>268</v>
      </c>
    </row>
    <row r="129" spans="1:8" x14ac:dyDescent="0.3">
      <c r="A129" s="6" t="s">
        <v>420</v>
      </c>
      <c r="B129" s="6" t="s">
        <v>159</v>
      </c>
      <c r="C129" s="6" t="s">
        <v>50</v>
      </c>
      <c r="D129" s="6" t="s">
        <v>284</v>
      </c>
      <c r="E129" s="6" t="s">
        <v>266</v>
      </c>
      <c r="F129" s="6">
        <v>3</v>
      </c>
      <c r="G129" s="6" t="s">
        <v>413</v>
      </c>
      <c r="H129" s="6" t="s">
        <v>268</v>
      </c>
    </row>
    <row r="130" spans="1:8" x14ac:dyDescent="0.3">
      <c r="A130" s="6" t="s">
        <v>421</v>
      </c>
      <c r="B130" s="6" t="s">
        <v>159</v>
      </c>
      <c r="C130" s="6" t="s">
        <v>286</v>
      </c>
      <c r="D130" s="6" t="s">
        <v>287</v>
      </c>
      <c r="E130" s="6" t="s">
        <v>266</v>
      </c>
      <c r="F130" s="6">
        <v>3</v>
      </c>
      <c r="G130" s="6" t="s">
        <v>413</v>
      </c>
      <c r="H130" s="6" t="s">
        <v>268</v>
      </c>
    </row>
    <row r="131" spans="1:8" x14ac:dyDescent="0.3">
      <c r="A131" s="6" t="s">
        <v>422</v>
      </c>
      <c r="B131" s="6" t="s">
        <v>159</v>
      </c>
      <c r="C131" s="6" t="s">
        <v>289</v>
      </c>
      <c r="D131" s="6" t="s">
        <v>290</v>
      </c>
      <c r="E131" s="6" t="s">
        <v>266</v>
      </c>
      <c r="F131" s="6">
        <v>3</v>
      </c>
      <c r="G131" s="6" t="s">
        <v>413</v>
      </c>
      <c r="H131" s="6" t="s">
        <v>268</v>
      </c>
    </row>
    <row r="132" spans="1:8" x14ac:dyDescent="0.3">
      <c r="A132" s="6" t="s">
        <v>423</v>
      </c>
      <c r="B132" s="6" t="s">
        <v>163</v>
      </c>
      <c r="C132" s="6" t="s">
        <v>264</v>
      </c>
      <c r="D132" s="6" t="s">
        <v>265</v>
      </c>
      <c r="E132" s="6" t="s">
        <v>266</v>
      </c>
      <c r="F132" s="6">
        <v>3</v>
      </c>
      <c r="G132" s="6" t="s">
        <v>424</v>
      </c>
      <c r="H132" s="6" t="s">
        <v>268</v>
      </c>
    </row>
    <row r="133" spans="1:8" x14ac:dyDescent="0.3">
      <c r="A133" s="6" t="s">
        <v>425</v>
      </c>
      <c r="B133" s="6" t="s">
        <v>163</v>
      </c>
      <c r="C133" s="6" t="s">
        <v>43</v>
      </c>
      <c r="D133" s="6" t="s">
        <v>270</v>
      </c>
      <c r="E133" s="6" t="s">
        <v>266</v>
      </c>
      <c r="F133" s="6">
        <v>3</v>
      </c>
      <c r="G133" s="6" t="s">
        <v>424</v>
      </c>
      <c r="H133" s="6" t="s">
        <v>268</v>
      </c>
    </row>
    <row r="134" spans="1:8" x14ac:dyDescent="0.3">
      <c r="A134" s="6" t="s">
        <v>426</v>
      </c>
      <c r="B134" s="6" t="s">
        <v>163</v>
      </c>
      <c r="C134" s="6" t="s">
        <v>272</v>
      </c>
      <c r="D134" s="6" t="s">
        <v>273</v>
      </c>
      <c r="E134" s="6" t="s">
        <v>266</v>
      </c>
      <c r="F134" s="6">
        <v>3</v>
      </c>
      <c r="G134" s="6" t="s">
        <v>424</v>
      </c>
      <c r="H134" s="6" t="s">
        <v>268</v>
      </c>
    </row>
    <row r="135" spans="1:8" x14ac:dyDescent="0.3">
      <c r="A135" s="6" t="s">
        <v>427</v>
      </c>
      <c r="B135" s="6" t="s">
        <v>163</v>
      </c>
      <c r="C135" s="6" t="s">
        <v>46</v>
      </c>
      <c r="D135" s="6" t="s">
        <v>275</v>
      </c>
      <c r="E135" s="6" t="s">
        <v>266</v>
      </c>
      <c r="F135" s="6">
        <v>3</v>
      </c>
      <c r="G135" s="6" t="s">
        <v>424</v>
      </c>
      <c r="H135" s="6" t="s">
        <v>268</v>
      </c>
    </row>
    <row r="136" spans="1:8" x14ac:dyDescent="0.3">
      <c r="A136" s="6" t="s">
        <v>428</v>
      </c>
      <c r="B136" s="6" t="s">
        <v>163</v>
      </c>
      <c r="C136" s="6" t="s">
        <v>277</v>
      </c>
      <c r="D136" s="6" t="s">
        <v>278</v>
      </c>
      <c r="E136" s="6" t="s">
        <v>266</v>
      </c>
      <c r="F136" s="6">
        <v>3</v>
      </c>
      <c r="G136" s="6" t="s">
        <v>424</v>
      </c>
      <c r="H136" s="6" t="s">
        <v>268</v>
      </c>
    </row>
    <row r="137" spans="1:8" x14ac:dyDescent="0.3">
      <c r="A137" s="6" t="s">
        <v>429</v>
      </c>
      <c r="B137" s="6" t="s">
        <v>163</v>
      </c>
      <c r="C137" s="6" t="s">
        <v>48</v>
      </c>
      <c r="D137" s="6" t="s">
        <v>280</v>
      </c>
      <c r="E137" s="6" t="s">
        <v>266</v>
      </c>
      <c r="F137" s="6">
        <v>3</v>
      </c>
      <c r="G137" s="6" t="s">
        <v>424</v>
      </c>
      <c r="H137" s="6" t="s">
        <v>268</v>
      </c>
    </row>
    <row r="138" spans="1:8" x14ac:dyDescent="0.3">
      <c r="A138" s="6" t="s">
        <v>430</v>
      </c>
      <c r="B138" s="6" t="s">
        <v>163</v>
      </c>
      <c r="C138" s="6" t="s">
        <v>49</v>
      </c>
      <c r="D138" s="6" t="s">
        <v>282</v>
      </c>
      <c r="E138" s="6" t="s">
        <v>266</v>
      </c>
      <c r="F138" s="6">
        <v>3</v>
      </c>
      <c r="G138" s="6" t="s">
        <v>424</v>
      </c>
      <c r="H138" s="6" t="s">
        <v>268</v>
      </c>
    </row>
    <row r="139" spans="1:8" x14ac:dyDescent="0.3">
      <c r="A139" s="6" t="s">
        <v>431</v>
      </c>
      <c r="B139" s="6" t="s">
        <v>163</v>
      </c>
      <c r="C139" s="6" t="s">
        <v>50</v>
      </c>
      <c r="D139" s="6" t="s">
        <v>284</v>
      </c>
      <c r="E139" s="6" t="s">
        <v>266</v>
      </c>
      <c r="F139" s="6">
        <v>3</v>
      </c>
      <c r="G139" s="6" t="s">
        <v>424</v>
      </c>
      <c r="H139" s="6" t="s">
        <v>268</v>
      </c>
    </row>
    <row r="140" spans="1:8" x14ac:dyDescent="0.3">
      <c r="A140" s="6" t="s">
        <v>432</v>
      </c>
      <c r="B140" s="6" t="s">
        <v>163</v>
      </c>
      <c r="C140" s="6" t="s">
        <v>286</v>
      </c>
      <c r="D140" s="6" t="s">
        <v>287</v>
      </c>
      <c r="E140" s="6" t="s">
        <v>266</v>
      </c>
      <c r="F140" s="6">
        <v>3</v>
      </c>
      <c r="G140" s="6" t="s">
        <v>424</v>
      </c>
      <c r="H140" s="6" t="s">
        <v>268</v>
      </c>
    </row>
    <row r="141" spans="1:8" x14ac:dyDescent="0.3">
      <c r="A141" s="6" t="s">
        <v>433</v>
      </c>
      <c r="B141" s="6" t="s">
        <v>163</v>
      </c>
      <c r="C141" s="6" t="s">
        <v>289</v>
      </c>
      <c r="D141" s="6" t="s">
        <v>290</v>
      </c>
      <c r="E141" s="6" t="s">
        <v>266</v>
      </c>
      <c r="F141" s="6">
        <v>3</v>
      </c>
      <c r="G141" s="6" t="s">
        <v>424</v>
      </c>
      <c r="H141" s="6" t="s">
        <v>268</v>
      </c>
    </row>
    <row r="142" spans="1:8" x14ac:dyDescent="0.3">
      <c r="A142" s="6" t="s">
        <v>434</v>
      </c>
      <c r="B142" s="6" t="s">
        <v>167</v>
      </c>
      <c r="C142" s="6" t="s">
        <v>264</v>
      </c>
      <c r="D142" s="6" t="s">
        <v>265</v>
      </c>
      <c r="E142" s="6" t="s">
        <v>266</v>
      </c>
      <c r="F142" s="6">
        <v>3</v>
      </c>
      <c r="G142" s="6" t="s">
        <v>435</v>
      </c>
      <c r="H142" s="6" t="s">
        <v>268</v>
      </c>
    </row>
    <row r="143" spans="1:8" x14ac:dyDescent="0.3">
      <c r="A143" s="6" t="s">
        <v>436</v>
      </c>
      <c r="B143" s="6" t="s">
        <v>167</v>
      </c>
      <c r="C143" s="6" t="s">
        <v>43</v>
      </c>
      <c r="D143" s="6" t="s">
        <v>270</v>
      </c>
      <c r="E143" s="6" t="s">
        <v>266</v>
      </c>
      <c r="F143" s="6">
        <v>3</v>
      </c>
      <c r="G143" s="6" t="s">
        <v>435</v>
      </c>
      <c r="H143" s="6" t="s">
        <v>268</v>
      </c>
    </row>
    <row r="144" spans="1:8" x14ac:dyDescent="0.3">
      <c r="A144" s="6" t="s">
        <v>437</v>
      </c>
      <c r="B144" s="6" t="s">
        <v>167</v>
      </c>
      <c r="C144" s="6" t="s">
        <v>272</v>
      </c>
      <c r="D144" s="6" t="s">
        <v>273</v>
      </c>
      <c r="E144" s="6" t="s">
        <v>266</v>
      </c>
      <c r="F144" s="6">
        <v>3</v>
      </c>
      <c r="G144" s="6" t="s">
        <v>435</v>
      </c>
      <c r="H144" s="6" t="s">
        <v>268</v>
      </c>
    </row>
    <row r="145" spans="1:8" x14ac:dyDescent="0.3">
      <c r="A145" s="6" t="s">
        <v>438</v>
      </c>
      <c r="B145" s="6" t="s">
        <v>167</v>
      </c>
      <c r="C145" s="6" t="s">
        <v>46</v>
      </c>
      <c r="D145" s="6" t="s">
        <v>275</v>
      </c>
      <c r="E145" s="6" t="s">
        <v>266</v>
      </c>
      <c r="F145" s="6">
        <v>3</v>
      </c>
      <c r="G145" s="6" t="s">
        <v>435</v>
      </c>
      <c r="H145" s="6" t="s">
        <v>268</v>
      </c>
    </row>
    <row r="146" spans="1:8" x14ac:dyDescent="0.3">
      <c r="A146" s="6" t="s">
        <v>439</v>
      </c>
      <c r="B146" s="6" t="s">
        <v>167</v>
      </c>
      <c r="C146" s="6" t="s">
        <v>277</v>
      </c>
      <c r="D146" s="6" t="s">
        <v>278</v>
      </c>
      <c r="E146" s="6" t="s">
        <v>266</v>
      </c>
      <c r="F146" s="6">
        <v>3</v>
      </c>
      <c r="G146" s="6" t="s">
        <v>435</v>
      </c>
      <c r="H146" s="6" t="s">
        <v>268</v>
      </c>
    </row>
    <row r="147" spans="1:8" x14ac:dyDescent="0.3">
      <c r="A147" s="6" t="s">
        <v>440</v>
      </c>
      <c r="B147" s="6" t="s">
        <v>167</v>
      </c>
      <c r="C147" s="6" t="s">
        <v>48</v>
      </c>
      <c r="D147" s="6" t="s">
        <v>280</v>
      </c>
      <c r="E147" s="6" t="s">
        <v>266</v>
      </c>
      <c r="F147" s="6">
        <v>3</v>
      </c>
      <c r="G147" s="6" t="s">
        <v>435</v>
      </c>
      <c r="H147" s="6" t="s">
        <v>268</v>
      </c>
    </row>
    <row r="148" spans="1:8" x14ac:dyDescent="0.3">
      <c r="A148" s="6" t="s">
        <v>441</v>
      </c>
      <c r="B148" s="6" t="s">
        <v>167</v>
      </c>
      <c r="C148" s="6" t="s">
        <v>49</v>
      </c>
      <c r="D148" s="6" t="s">
        <v>282</v>
      </c>
      <c r="E148" s="6" t="s">
        <v>266</v>
      </c>
      <c r="F148" s="6">
        <v>3</v>
      </c>
      <c r="G148" s="6" t="s">
        <v>435</v>
      </c>
      <c r="H148" s="6" t="s">
        <v>268</v>
      </c>
    </row>
    <row r="149" spans="1:8" x14ac:dyDescent="0.3">
      <c r="A149" s="6" t="s">
        <v>442</v>
      </c>
      <c r="B149" s="6" t="s">
        <v>167</v>
      </c>
      <c r="C149" s="6" t="s">
        <v>50</v>
      </c>
      <c r="D149" s="6" t="s">
        <v>284</v>
      </c>
      <c r="E149" s="6" t="s">
        <v>266</v>
      </c>
      <c r="F149" s="6">
        <v>3</v>
      </c>
      <c r="G149" s="6" t="s">
        <v>435</v>
      </c>
      <c r="H149" s="6" t="s">
        <v>268</v>
      </c>
    </row>
    <row r="150" spans="1:8" x14ac:dyDescent="0.3">
      <c r="A150" s="6" t="s">
        <v>443</v>
      </c>
      <c r="B150" s="6" t="s">
        <v>167</v>
      </c>
      <c r="C150" s="6" t="s">
        <v>286</v>
      </c>
      <c r="D150" s="6" t="s">
        <v>287</v>
      </c>
      <c r="E150" s="6" t="s">
        <v>266</v>
      </c>
      <c r="F150" s="6">
        <v>3</v>
      </c>
      <c r="G150" s="6" t="s">
        <v>435</v>
      </c>
      <c r="H150" s="6" t="s">
        <v>268</v>
      </c>
    </row>
    <row r="151" spans="1:8" x14ac:dyDescent="0.3">
      <c r="A151" s="6" t="s">
        <v>444</v>
      </c>
      <c r="B151" s="6" t="s">
        <v>167</v>
      </c>
      <c r="C151" s="6" t="s">
        <v>289</v>
      </c>
      <c r="D151" s="6" t="s">
        <v>290</v>
      </c>
      <c r="E151" s="6" t="s">
        <v>266</v>
      </c>
      <c r="F151" s="6">
        <v>3</v>
      </c>
      <c r="G151" s="6" t="s">
        <v>435</v>
      </c>
      <c r="H151" s="6" t="s">
        <v>268</v>
      </c>
    </row>
    <row r="152" spans="1:8" x14ac:dyDescent="0.3">
      <c r="A152" s="6" t="s">
        <v>445</v>
      </c>
      <c r="B152" s="6" t="s">
        <v>171</v>
      </c>
      <c r="C152" s="6" t="s">
        <v>264</v>
      </c>
      <c r="D152" s="6" t="s">
        <v>265</v>
      </c>
      <c r="E152" s="6" t="s">
        <v>266</v>
      </c>
      <c r="F152" s="6">
        <v>3</v>
      </c>
      <c r="G152" s="6" t="s">
        <v>446</v>
      </c>
      <c r="H152" s="6" t="s">
        <v>268</v>
      </c>
    </row>
    <row r="153" spans="1:8" x14ac:dyDescent="0.3">
      <c r="A153" s="6" t="s">
        <v>447</v>
      </c>
      <c r="B153" s="6" t="s">
        <v>171</v>
      </c>
      <c r="C153" s="6" t="s">
        <v>43</v>
      </c>
      <c r="D153" s="6" t="s">
        <v>270</v>
      </c>
      <c r="E153" s="6" t="s">
        <v>266</v>
      </c>
      <c r="F153" s="6">
        <v>3</v>
      </c>
      <c r="G153" s="6" t="s">
        <v>446</v>
      </c>
      <c r="H153" s="6" t="s">
        <v>268</v>
      </c>
    </row>
    <row r="154" spans="1:8" x14ac:dyDescent="0.3">
      <c r="A154" s="6" t="s">
        <v>448</v>
      </c>
      <c r="B154" s="6" t="s">
        <v>171</v>
      </c>
      <c r="C154" s="6" t="s">
        <v>272</v>
      </c>
      <c r="D154" s="6" t="s">
        <v>273</v>
      </c>
      <c r="E154" s="6" t="s">
        <v>266</v>
      </c>
      <c r="F154" s="6">
        <v>3</v>
      </c>
      <c r="G154" s="6" t="s">
        <v>446</v>
      </c>
      <c r="H154" s="6" t="s">
        <v>268</v>
      </c>
    </row>
    <row r="155" spans="1:8" x14ac:dyDescent="0.3">
      <c r="A155" s="6" t="s">
        <v>449</v>
      </c>
      <c r="B155" s="6" t="s">
        <v>171</v>
      </c>
      <c r="C155" s="6" t="s">
        <v>46</v>
      </c>
      <c r="D155" s="6" t="s">
        <v>275</v>
      </c>
      <c r="E155" s="6" t="s">
        <v>266</v>
      </c>
      <c r="F155" s="6">
        <v>3</v>
      </c>
      <c r="G155" s="6" t="s">
        <v>446</v>
      </c>
      <c r="H155" s="6" t="s">
        <v>268</v>
      </c>
    </row>
    <row r="156" spans="1:8" x14ac:dyDescent="0.3">
      <c r="A156" s="6" t="s">
        <v>450</v>
      </c>
      <c r="B156" s="6" t="s">
        <v>171</v>
      </c>
      <c r="C156" s="6" t="s">
        <v>277</v>
      </c>
      <c r="D156" s="6" t="s">
        <v>278</v>
      </c>
      <c r="E156" s="6" t="s">
        <v>266</v>
      </c>
      <c r="F156" s="6">
        <v>3</v>
      </c>
      <c r="G156" s="6" t="s">
        <v>446</v>
      </c>
      <c r="H156" s="6" t="s">
        <v>268</v>
      </c>
    </row>
    <row r="157" spans="1:8" x14ac:dyDescent="0.3">
      <c r="A157" s="6" t="s">
        <v>451</v>
      </c>
      <c r="B157" s="6" t="s">
        <v>171</v>
      </c>
      <c r="C157" s="6" t="s">
        <v>48</v>
      </c>
      <c r="D157" s="6" t="s">
        <v>280</v>
      </c>
      <c r="E157" s="6" t="s">
        <v>266</v>
      </c>
      <c r="F157" s="6">
        <v>3</v>
      </c>
      <c r="G157" s="6" t="s">
        <v>446</v>
      </c>
      <c r="H157" s="6" t="s">
        <v>268</v>
      </c>
    </row>
    <row r="158" spans="1:8" x14ac:dyDescent="0.3">
      <c r="A158" s="6" t="s">
        <v>452</v>
      </c>
      <c r="B158" s="6" t="s">
        <v>171</v>
      </c>
      <c r="C158" s="6" t="s">
        <v>49</v>
      </c>
      <c r="D158" s="6" t="s">
        <v>282</v>
      </c>
      <c r="E158" s="6" t="s">
        <v>266</v>
      </c>
      <c r="F158" s="6">
        <v>3</v>
      </c>
      <c r="G158" s="6" t="s">
        <v>446</v>
      </c>
      <c r="H158" s="6" t="s">
        <v>268</v>
      </c>
    </row>
    <row r="159" spans="1:8" x14ac:dyDescent="0.3">
      <c r="A159" s="6" t="s">
        <v>453</v>
      </c>
      <c r="B159" s="6" t="s">
        <v>171</v>
      </c>
      <c r="C159" s="6" t="s">
        <v>50</v>
      </c>
      <c r="D159" s="6" t="s">
        <v>284</v>
      </c>
      <c r="E159" s="6" t="s">
        <v>266</v>
      </c>
      <c r="F159" s="6">
        <v>3</v>
      </c>
      <c r="G159" s="6" t="s">
        <v>446</v>
      </c>
      <c r="H159" s="6" t="s">
        <v>268</v>
      </c>
    </row>
    <row r="160" spans="1:8" x14ac:dyDescent="0.3">
      <c r="A160" s="6" t="s">
        <v>454</v>
      </c>
      <c r="B160" s="6" t="s">
        <v>171</v>
      </c>
      <c r="C160" s="6" t="s">
        <v>286</v>
      </c>
      <c r="D160" s="6" t="s">
        <v>287</v>
      </c>
      <c r="E160" s="6" t="s">
        <v>266</v>
      </c>
      <c r="F160" s="6">
        <v>3</v>
      </c>
      <c r="G160" s="6" t="s">
        <v>446</v>
      </c>
      <c r="H160" s="6" t="s">
        <v>268</v>
      </c>
    </row>
    <row r="161" spans="1:8" x14ac:dyDescent="0.3">
      <c r="A161" s="6" t="s">
        <v>455</v>
      </c>
      <c r="B161" s="6" t="s">
        <v>171</v>
      </c>
      <c r="C161" s="6" t="s">
        <v>289</v>
      </c>
      <c r="D161" s="6" t="s">
        <v>290</v>
      </c>
      <c r="E161" s="6" t="s">
        <v>266</v>
      </c>
      <c r="F161" s="6">
        <v>3</v>
      </c>
      <c r="G161" s="6" t="s">
        <v>446</v>
      </c>
      <c r="H161" s="6" t="s">
        <v>268</v>
      </c>
    </row>
    <row r="162" spans="1:8" x14ac:dyDescent="0.3">
      <c r="A162" s="6" t="s">
        <v>456</v>
      </c>
      <c r="B162" s="6" t="s">
        <v>175</v>
      </c>
      <c r="C162" s="6" t="s">
        <v>264</v>
      </c>
      <c r="D162" s="6" t="s">
        <v>265</v>
      </c>
      <c r="E162" s="6" t="s">
        <v>266</v>
      </c>
      <c r="F162" s="6">
        <v>3</v>
      </c>
      <c r="G162" s="6" t="s">
        <v>457</v>
      </c>
      <c r="H162" s="6" t="s">
        <v>268</v>
      </c>
    </row>
    <row r="163" spans="1:8" x14ac:dyDescent="0.3">
      <c r="A163" s="6" t="s">
        <v>458</v>
      </c>
      <c r="B163" s="6" t="s">
        <v>175</v>
      </c>
      <c r="C163" s="6" t="s">
        <v>43</v>
      </c>
      <c r="D163" s="6" t="s">
        <v>270</v>
      </c>
      <c r="E163" s="6" t="s">
        <v>266</v>
      </c>
      <c r="F163" s="6">
        <v>3</v>
      </c>
      <c r="G163" s="6" t="s">
        <v>457</v>
      </c>
      <c r="H163" s="6" t="s">
        <v>268</v>
      </c>
    </row>
    <row r="164" spans="1:8" x14ac:dyDescent="0.3">
      <c r="A164" s="6" t="s">
        <v>459</v>
      </c>
      <c r="B164" s="6" t="s">
        <v>175</v>
      </c>
      <c r="C164" s="6" t="s">
        <v>272</v>
      </c>
      <c r="D164" s="6" t="s">
        <v>273</v>
      </c>
      <c r="E164" s="6" t="s">
        <v>266</v>
      </c>
      <c r="F164" s="6">
        <v>3</v>
      </c>
      <c r="G164" s="6" t="s">
        <v>457</v>
      </c>
      <c r="H164" s="6" t="s">
        <v>268</v>
      </c>
    </row>
    <row r="165" spans="1:8" x14ac:dyDescent="0.3">
      <c r="A165" s="6" t="s">
        <v>460</v>
      </c>
      <c r="B165" s="6" t="s">
        <v>175</v>
      </c>
      <c r="C165" s="6" t="s">
        <v>46</v>
      </c>
      <c r="D165" s="6" t="s">
        <v>275</v>
      </c>
      <c r="E165" s="6" t="s">
        <v>266</v>
      </c>
      <c r="F165" s="6">
        <v>3</v>
      </c>
      <c r="G165" s="6" t="s">
        <v>457</v>
      </c>
      <c r="H165" s="6" t="s">
        <v>268</v>
      </c>
    </row>
    <row r="166" spans="1:8" x14ac:dyDescent="0.3">
      <c r="A166" s="6" t="s">
        <v>461</v>
      </c>
      <c r="B166" s="6" t="s">
        <v>175</v>
      </c>
      <c r="C166" s="6" t="s">
        <v>277</v>
      </c>
      <c r="D166" s="6" t="s">
        <v>278</v>
      </c>
      <c r="E166" s="6" t="s">
        <v>266</v>
      </c>
      <c r="F166" s="6">
        <v>3</v>
      </c>
      <c r="G166" s="6" t="s">
        <v>457</v>
      </c>
      <c r="H166" s="6" t="s">
        <v>268</v>
      </c>
    </row>
    <row r="167" spans="1:8" x14ac:dyDescent="0.3">
      <c r="A167" s="6" t="s">
        <v>462</v>
      </c>
      <c r="B167" s="6" t="s">
        <v>175</v>
      </c>
      <c r="C167" s="6" t="s">
        <v>48</v>
      </c>
      <c r="D167" s="6" t="s">
        <v>280</v>
      </c>
      <c r="E167" s="6" t="s">
        <v>266</v>
      </c>
      <c r="F167" s="6">
        <v>3</v>
      </c>
      <c r="G167" s="6" t="s">
        <v>457</v>
      </c>
      <c r="H167" s="6" t="s">
        <v>268</v>
      </c>
    </row>
    <row r="168" spans="1:8" x14ac:dyDescent="0.3">
      <c r="A168" s="6" t="s">
        <v>463</v>
      </c>
      <c r="B168" s="6" t="s">
        <v>175</v>
      </c>
      <c r="C168" s="6" t="s">
        <v>49</v>
      </c>
      <c r="D168" s="6" t="s">
        <v>282</v>
      </c>
      <c r="E168" s="6" t="s">
        <v>266</v>
      </c>
      <c r="F168" s="6">
        <v>3</v>
      </c>
      <c r="G168" s="6" t="s">
        <v>457</v>
      </c>
      <c r="H168" s="6" t="s">
        <v>268</v>
      </c>
    </row>
    <row r="169" spans="1:8" x14ac:dyDescent="0.3">
      <c r="A169" s="6" t="s">
        <v>464</v>
      </c>
      <c r="B169" s="6" t="s">
        <v>175</v>
      </c>
      <c r="C169" s="6" t="s">
        <v>50</v>
      </c>
      <c r="D169" s="6" t="s">
        <v>284</v>
      </c>
      <c r="E169" s="6" t="s">
        <v>266</v>
      </c>
      <c r="F169" s="6">
        <v>3</v>
      </c>
      <c r="G169" s="6" t="s">
        <v>457</v>
      </c>
      <c r="H169" s="6" t="s">
        <v>268</v>
      </c>
    </row>
    <row r="170" spans="1:8" x14ac:dyDescent="0.3">
      <c r="A170" s="6" t="s">
        <v>465</v>
      </c>
      <c r="B170" s="6" t="s">
        <v>175</v>
      </c>
      <c r="C170" s="6" t="s">
        <v>286</v>
      </c>
      <c r="D170" s="6" t="s">
        <v>287</v>
      </c>
      <c r="E170" s="6" t="s">
        <v>266</v>
      </c>
      <c r="F170" s="6">
        <v>3</v>
      </c>
      <c r="G170" s="6" t="s">
        <v>457</v>
      </c>
      <c r="H170" s="6" t="s">
        <v>268</v>
      </c>
    </row>
    <row r="171" spans="1:8" x14ac:dyDescent="0.3">
      <c r="A171" s="6" t="s">
        <v>466</v>
      </c>
      <c r="B171" s="6" t="s">
        <v>175</v>
      </c>
      <c r="C171" s="6" t="s">
        <v>289</v>
      </c>
      <c r="D171" s="6" t="s">
        <v>290</v>
      </c>
      <c r="E171" s="6" t="s">
        <v>266</v>
      </c>
      <c r="F171" s="6">
        <v>3</v>
      </c>
      <c r="G171" s="6" t="s">
        <v>457</v>
      </c>
      <c r="H171" s="6" t="s">
        <v>268</v>
      </c>
    </row>
    <row r="172" spans="1:8" x14ac:dyDescent="0.3">
      <c r="A172" s="6" t="s">
        <v>467</v>
      </c>
      <c r="B172" s="6" t="s">
        <v>179</v>
      </c>
      <c r="C172" s="6" t="s">
        <v>264</v>
      </c>
      <c r="D172" s="6" t="s">
        <v>265</v>
      </c>
      <c r="E172" s="6" t="s">
        <v>266</v>
      </c>
      <c r="F172" s="6">
        <v>3</v>
      </c>
      <c r="G172" s="6" t="s">
        <v>468</v>
      </c>
      <c r="H172" s="6" t="s">
        <v>268</v>
      </c>
    </row>
    <row r="173" spans="1:8" x14ac:dyDescent="0.3">
      <c r="A173" s="6" t="s">
        <v>469</v>
      </c>
      <c r="B173" s="6" t="s">
        <v>179</v>
      </c>
      <c r="C173" s="6" t="s">
        <v>43</v>
      </c>
      <c r="D173" s="6" t="s">
        <v>270</v>
      </c>
      <c r="E173" s="6" t="s">
        <v>266</v>
      </c>
      <c r="F173" s="6">
        <v>3</v>
      </c>
      <c r="G173" s="6" t="s">
        <v>468</v>
      </c>
      <c r="H173" s="6" t="s">
        <v>268</v>
      </c>
    </row>
    <row r="174" spans="1:8" x14ac:dyDescent="0.3">
      <c r="A174" s="6" t="s">
        <v>470</v>
      </c>
      <c r="B174" s="6" t="s">
        <v>179</v>
      </c>
      <c r="C174" s="6" t="s">
        <v>272</v>
      </c>
      <c r="D174" s="6" t="s">
        <v>273</v>
      </c>
      <c r="E174" s="6" t="s">
        <v>266</v>
      </c>
      <c r="F174" s="6">
        <v>3</v>
      </c>
      <c r="G174" s="6" t="s">
        <v>468</v>
      </c>
      <c r="H174" s="6" t="s">
        <v>268</v>
      </c>
    </row>
    <row r="175" spans="1:8" x14ac:dyDescent="0.3">
      <c r="A175" s="6" t="s">
        <v>471</v>
      </c>
      <c r="B175" s="6" t="s">
        <v>179</v>
      </c>
      <c r="C175" s="6" t="s">
        <v>46</v>
      </c>
      <c r="D175" s="6" t="s">
        <v>275</v>
      </c>
      <c r="E175" s="6" t="s">
        <v>266</v>
      </c>
      <c r="F175" s="6">
        <v>3</v>
      </c>
      <c r="G175" s="6" t="s">
        <v>468</v>
      </c>
      <c r="H175" s="6" t="s">
        <v>268</v>
      </c>
    </row>
    <row r="176" spans="1:8" x14ac:dyDescent="0.3">
      <c r="A176" s="6" t="s">
        <v>472</v>
      </c>
      <c r="B176" s="6" t="s">
        <v>179</v>
      </c>
      <c r="C176" s="6" t="s">
        <v>277</v>
      </c>
      <c r="D176" s="6" t="s">
        <v>278</v>
      </c>
      <c r="E176" s="6" t="s">
        <v>266</v>
      </c>
      <c r="F176" s="6">
        <v>3</v>
      </c>
      <c r="G176" s="6" t="s">
        <v>468</v>
      </c>
      <c r="H176" s="6" t="s">
        <v>268</v>
      </c>
    </row>
    <row r="177" spans="1:8" x14ac:dyDescent="0.3">
      <c r="A177" s="6" t="s">
        <v>473</v>
      </c>
      <c r="B177" s="6" t="s">
        <v>179</v>
      </c>
      <c r="C177" s="6" t="s">
        <v>48</v>
      </c>
      <c r="D177" s="6" t="s">
        <v>280</v>
      </c>
      <c r="E177" s="6" t="s">
        <v>266</v>
      </c>
      <c r="F177" s="6">
        <v>3</v>
      </c>
      <c r="G177" s="6" t="s">
        <v>468</v>
      </c>
      <c r="H177" s="6" t="s">
        <v>268</v>
      </c>
    </row>
    <row r="178" spans="1:8" x14ac:dyDescent="0.3">
      <c r="A178" s="6" t="s">
        <v>474</v>
      </c>
      <c r="B178" s="6" t="s">
        <v>179</v>
      </c>
      <c r="C178" s="6" t="s">
        <v>49</v>
      </c>
      <c r="D178" s="6" t="s">
        <v>282</v>
      </c>
      <c r="E178" s="6" t="s">
        <v>266</v>
      </c>
      <c r="F178" s="6">
        <v>3</v>
      </c>
      <c r="G178" s="6" t="s">
        <v>468</v>
      </c>
      <c r="H178" s="6" t="s">
        <v>268</v>
      </c>
    </row>
    <row r="179" spans="1:8" x14ac:dyDescent="0.3">
      <c r="A179" s="6" t="s">
        <v>475</v>
      </c>
      <c r="B179" s="6" t="s">
        <v>179</v>
      </c>
      <c r="C179" s="6" t="s">
        <v>50</v>
      </c>
      <c r="D179" s="6" t="s">
        <v>284</v>
      </c>
      <c r="E179" s="6" t="s">
        <v>266</v>
      </c>
      <c r="F179" s="6">
        <v>3</v>
      </c>
      <c r="G179" s="6" t="s">
        <v>468</v>
      </c>
      <c r="H179" s="6" t="s">
        <v>268</v>
      </c>
    </row>
    <row r="180" spans="1:8" x14ac:dyDescent="0.3">
      <c r="A180" s="6" t="s">
        <v>476</v>
      </c>
      <c r="B180" s="6" t="s">
        <v>179</v>
      </c>
      <c r="C180" s="6" t="s">
        <v>286</v>
      </c>
      <c r="D180" s="6" t="s">
        <v>287</v>
      </c>
      <c r="E180" s="6" t="s">
        <v>266</v>
      </c>
      <c r="F180" s="6">
        <v>3</v>
      </c>
      <c r="G180" s="6" t="s">
        <v>468</v>
      </c>
      <c r="H180" s="6" t="s">
        <v>268</v>
      </c>
    </row>
    <row r="181" spans="1:8" x14ac:dyDescent="0.3">
      <c r="A181" s="6" t="s">
        <v>477</v>
      </c>
      <c r="B181" s="6" t="s">
        <v>179</v>
      </c>
      <c r="C181" s="6" t="s">
        <v>289</v>
      </c>
      <c r="D181" s="6" t="s">
        <v>290</v>
      </c>
      <c r="E181" s="6" t="s">
        <v>266</v>
      </c>
      <c r="F181" s="6">
        <v>3</v>
      </c>
      <c r="G181" s="6" t="s">
        <v>468</v>
      </c>
      <c r="H181" s="6" t="s">
        <v>268</v>
      </c>
    </row>
    <row r="182" spans="1:8" x14ac:dyDescent="0.3">
      <c r="A182" s="6" t="s">
        <v>478</v>
      </c>
      <c r="B182" s="6" t="s">
        <v>183</v>
      </c>
      <c r="C182" s="6" t="s">
        <v>264</v>
      </c>
      <c r="D182" s="6" t="s">
        <v>265</v>
      </c>
      <c r="E182" s="6" t="s">
        <v>266</v>
      </c>
      <c r="F182" s="6">
        <v>3</v>
      </c>
      <c r="G182" s="6" t="s">
        <v>479</v>
      </c>
      <c r="H182" s="6" t="s">
        <v>268</v>
      </c>
    </row>
    <row r="183" spans="1:8" x14ac:dyDescent="0.3">
      <c r="A183" s="6" t="s">
        <v>480</v>
      </c>
      <c r="B183" s="6" t="s">
        <v>183</v>
      </c>
      <c r="C183" s="6" t="s">
        <v>43</v>
      </c>
      <c r="D183" s="6" t="s">
        <v>270</v>
      </c>
      <c r="E183" s="6" t="s">
        <v>266</v>
      </c>
      <c r="F183" s="6">
        <v>3</v>
      </c>
      <c r="G183" s="6" t="s">
        <v>479</v>
      </c>
      <c r="H183" s="6" t="s">
        <v>268</v>
      </c>
    </row>
    <row r="184" spans="1:8" x14ac:dyDescent="0.3">
      <c r="A184" s="6" t="s">
        <v>481</v>
      </c>
      <c r="B184" s="6" t="s">
        <v>183</v>
      </c>
      <c r="C184" s="6" t="s">
        <v>272</v>
      </c>
      <c r="D184" s="6" t="s">
        <v>273</v>
      </c>
      <c r="E184" s="6" t="s">
        <v>266</v>
      </c>
      <c r="F184" s="6">
        <v>3</v>
      </c>
      <c r="G184" s="6" t="s">
        <v>479</v>
      </c>
      <c r="H184" s="6" t="s">
        <v>268</v>
      </c>
    </row>
    <row r="185" spans="1:8" x14ac:dyDescent="0.3">
      <c r="A185" s="6" t="s">
        <v>482</v>
      </c>
      <c r="B185" s="6" t="s">
        <v>183</v>
      </c>
      <c r="C185" s="6" t="s">
        <v>46</v>
      </c>
      <c r="D185" s="6" t="s">
        <v>275</v>
      </c>
      <c r="E185" s="6" t="s">
        <v>266</v>
      </c>
      <c r="F185" s="6">
        <v>3</v>
      </c>
      <c r="G185" s="6" t="s">
        <v>479</v>
      </c>
      <c r="H185" s="6" t="s">
        <v>268</v>
      </c>
    </row>
    <row r="186" spans="1:8" x14ac:dyDescent="0.3">
      <c r="A186" s="6" t="s">
        <v>483</v>
      </c>
      <c r="B186" s="6" t="s">
        <v>183</v>
      </c>
      <c r="C186" s="6" t="s">
        <v>277</v>
      </c>
      <c r="D186" s="6" t="s">
        <v>278</v>
      </c>
      <c r="E186" s="6" t="s">
        <v>266</v>
      </c>
      <c r="F186" s="6">
        <v>3</v>
      </c>
      <c r="G186" s="6" t="s">
        <v>479</v>
      </c>
      <c r="H186" s="6" t="s">
        <v>268</v>
      </c>
    </row>
    <row r="187" spans="1:8" x14ac:dyDescent="0.3">
      <c r="A187" s="6" t="s">
        <v>484</v>
      </c>
      <c r="B187" s="6" t="s">
        <v>183</v>
      </c>
      <c r="C187" s="6" t="s">
        <v>48</v>
      </c>
      <c r="D187" s="6" t="s">
        <v>280</v>
      </c>
      <c r="E187" s="6" t="s">
        <v>266</v>
      </c>
      <c r="F187" s="6">
        <v>3</v>
      </c>
      <c r="G187" s="6" t="s">
        <v>479</v>
      </c>
      <c r="H187" s="6" t="s">
        <v>268</v>
      </c>
    </row>
    <row r="188" spans="1:8" x14ac:dyDescent="0.3">
      <c r="A188" s="6" t="s">
        <v>485</v>
      </c>
      <c r="B188" s="6" t="s">
        <v>183</v>
      </c>
      <c r="C188" s="6" t="s">
        <v>49</v>
      </c>
      <c r="D188" s="6" t="s">
        <v>282</v>
      </c>
      <c r="E188" s="6" t="s">
        <v>266</v>
      </c>
      <c r="F188" s="6">
        <v>3</v>
      </c>
      <c r="G188" s="6" t="s">
        <v>479</v>
      </c>
      <c r="H188" s="6" t="s">
        <v>268</v>
      </c>
    </row>
    <row r="189" spans="1:8" x14ac:dyDescent="0.3">
      <c r="A189" s="6" t="s">
        <v>486</v>
      </c>
      <c r="B189" s="6" t="s">
        <v>183</v>
      </c>
      <c r="C189" s="6" t="s">
        <v>50</v>
      </c>
      <c r="D189" s="6" t="s">
        <v>284</v>
      </c>
      <c r="E189" s="6" t="s">
        <v>266</v>
      </c>
      <c r="F189" s="6">
        <v>3</v>
      </c>
      <c r="G189" s="6" t="s">
        <v>479</v>
      </c>
      <c r="H189" s="6" t="s">
        <v>268</v>
      </c>
    </row>
    <row r="190" spans="1:8" x14ac:dyDescent="0.3">
      <c r="A190" s="6" t="s">
        <v>487</v>
      </c>
      <c r="B190" s="6" t="s">
        <v>183</v>
      </c>
      <c r="C190" s="6" t="s">
        <v>286</v>
      </c>
      <c r="D190" s="6" t="s">
        <v>287</v>
      </c>
      <c r="E190" s="6" t="s">
        <v>266</v>
      </c>
      <c r="F190" s="6">
        <v>3</v>
      </c>
      <c r="G190" s="6" t="s">
        <v>479</v>
      </c>
      <c r="H190" s="6" t="s">
        <v>268</v>
      </c>
    </row>
    <row r="191" spans="1:8" x14ac:dyDescent="0.3">
      <c r="A191" s="6" t="s">
        <v>488</v>
      </c>
      <c r="B191" s="6" t="s">
        <v>183</v>
      </c>
      <c r="C191" s="6" t="s">
        <v>289</v>
      </c>
      <c r="D191" s="6" t="s">
        <v>290</v>
      </c>
      <c r="E191" s="6" t="s">
        <v>266</v>
      </c>
      <c r="F191" s="6">
        <v>3</v>
      </c>
      <c r="G191" s="6" t="s">
        <v>479</v>
      </c>
      <c r="H191" s="6" t="s">
        <v>268</v>
      </c>
    </row>
    <row r="192" spans="1:8" x14ac:dyDescent="0.3">
      <c r="A192" s="6" t="s">
        <v>489</v>
      </c>
      <c r="B192" s="6" t="s">
        <v>187</v>
      </c>
      <c r="C192" s="6" t="s">
        <v>264</v>
      </c>
      <c r="D192" s="6" t="s">
        <v>265</v>
      </c>
      <c r="E192" s="6" t="s">
        <v>266</v>
      </c>
      <c r="F192" s="6">
        <v>3</v>
      </c>
      <c r="G192" s="6" t="s">
        <v>490</v>
      </c>
      <c r="H192" s="6" t="s">
        <v>268</v>
      </c>
    </row>
    <row r="193" spans="1:8" x14ac:dyDescent="0.3">
      <c r="A193" s="6" t="s">
        <v>491</v>
      </c>
      <c r="B193" s="6" t="s">
        <v>187</v>
      </c>
      <c r="C193" s="6" t="s">
        <v>43</v>
      </c>
      <c r="D193" s="6" t="s">
        <v>270</v>
      </c>
      <c r="E193" s="6" t="s">
        <v>266</v>
      </c>
      <c r="F193" s="6">
        <v>3</v>
      </c>
      <c r="G193" s="6" t="s">
        <v>490</v>
      </c>
      <c r="H193" s="6" t="s">
        <v>268</v>
      </c>
    </row>
    <row r="194" spans="1:8" x14ac:dyDescent="0.3">
      <c r="A194" s="6" t="s">
        <v>492</v>
      </c>
      <c r="B194" s="6" t="s">
        <v>187</v>
      </c>
      <c r="C194" s="6" t="s">
        <v>272</v>
      </c>
      <c r="D194" s="6" t="s">
        <v>273</v>
      </c>
      <c r="E194" s="6" t="s">
        <v>266</v>
      </c>
      <c r="F194" s="6">
        <v>3</v>
      </c>
      <c r="G194" s="6" t="s">
        <v>490</v>
      </c>
      <c r="H194" s="6" t="s">
        <v>268</v>
      </c>
    </row>
    <row r="195" spans="1:8" x14ac:dyDescent="0.3">
      <c r="A195" s="6" t="s">
        <v>493</v>
      </c>
      <c r="B195" s="6" t="s">
        <v>187</v>
      </c>
      <c r="C195" s="6" t="s">
        <v>46</v>
      </c>
      <c r="D195" s="6" t="s">
        <v>275</v>
      </c>
      <c r="E195" s="6" t="s">
        <v>266</v>
      </c>
      <c r="F195" s="6">
        <v>3</v>
      </c>
      <c r="G195" s="6" t="s">
        <v>490</v>
      </c>
      <c r="H195" s="6" t="s">
        <v>268</v>
      </c>
    </row>
    <row r="196" spans="1:8" x14ac:dyDescent="0.3">
      <c r="A196" s="6" t="s">
        <v>494</v>
      </c>
      <c r="B196" s="6" t="s">
        <v>187</v>
      </c>
      <c r="C196" s="6" t="s">
        <v>277</v>
      </c>
      <c r="D196" s="6" t="s">
        <v>278</v>
      </c>
      <c r="E196" s="6" t="s">
        <v>266</v>
      </c>
      <c r="F196" s="6">
        <v>3</v>
      </c>
      <c r="G196" s="6" t="s">
        <v>490</v>
      </c>
      <c r="H196" s="6" t="s">
        <v>268</v>
      </c>
    </row>
    <row r="197" spans="1:8" x14ac:dyDescent="0.3">
      <c r="A197" s="6" t="s">
        <v>495</v>
      </c>
      <c r="B197" s="6" t="s">
        <v>187</v>
      </c>
      <c r="C197" s="6" t="s">
        <v>48</v>
      </c>
      <c r="D197" s="6" t="s">
        <v>280</v>
      </c>
      <c r="E197" s="6" t="s">
        <v>266</v>
      </c>
      <c r="F197" s="6">
        <v>3</v>
      </c>
      <c r="G197" s="6" t="s">
        <v>490</v>
      </c>
      <c r="H197" s="6" t="s">
        <v>268</v>
      </c>
    </row>
    <row r="198" spans="1:8" x14ac:dyDescent="0.3">
      <c r="A198" s="6" t="s">
        <v>496</v>
      </c>
      <c r="B198" s="6" t="s">
        <v>187</v>
      </c>
      <c r="C198" s="6" t="s">
        <v>49</v>
      </c>
      <c r="D198" s="6" t="s">
        <v>282</v>
      </c>
      <c r="E198" s="6" t="s">
        <v>266</v>
      </c>
      <c r="F198" s="6">
        <v>3</v>
      </c>
      <c r="G198" s="6" t="s">
        <v>490</v>
      </c>
      <c r="H198" s="6" t="s">
        <v>268</v>
      </c>
    </row>
    <row r="199" spans="1:8" x14ac:dyDescent="0.3">
      <c r="A199" s="6" t="s">
        <v>497</v>
      </c>
      <c r="B199" s="6" t="s">
        <v>187</v>
      </c>
      <c r="C199" s="6" t="s">
        <v>50</v>
      </c>
      <c r="D199" s="6" t="s">
        <v>284</v>
      </c>
      <c r="E199" s="6" t="s">
        <v>266</v>
      </c>
      <c r="F199" s="6">
        <v>3</v>
      </c>
      <c r="G199" s="6" t="s">
        <v>490</v>
      </c>
      <c r="H199" s="6" t="s">
        <v>268</v>
      </c>
    </row>
    <row r="200" spans="1:8" x14ac:dyDescent="0.3">
      <c r="A200" s="6" t="s">
        <v>498</v>
      </c>
      <c r="B200" s="6" t="s">
        <v>187</v>
      </c>
      <c r="C200" s="6" t="s">
        <v>286</v>
      </c>
      <c r="D200" s="6" t="s">
        <v>287</v>
      </c>
      <c r="E200" s="6" t="s">
        <v>266</v>
      </c>
      <c r="F200" s="6">
        <v>3</v>
      </c>
      <c r="G200" s="6" t="s">
        <v>490</v>
      </c>
      <c r="H200" s="6" t="s">
        <v>268</v>
      </c>
    </row>
    <row r="201" spans="1:8" x14ac:dyDescent="0.3">
      <c r="A201" s="6" t="s">
        <v>499</v>
      </c>
      <c r="B201" s="6" t="s">
        <v>187</v>
      </c>
      <c r="C201" s="6" t="s">
        <v>289</v>
      </c>
      <c r="D201" s="6" t="s">
        <v>290</v>
      </c>
      <c r="E201" s="6" t="s">
        <v>266</v>
      </c>
      <c r="F201" s="6">
        <v>3</v>
      </c>
      <c r="G201" s="6" t="s">
        <v>490</v>
      </c>
      <c r="H201" s="6" t="s">
        <v>268</v>
      </c>
    </row>
    <row r="202" spans="1:8" x14ac:dyDescent="0.3">
      <c r="A202" s="6" t="s">
        <v>500</v>
      </c>
      <c r="B202" s="6" t="s">
        <v>191</v>
      </c>
      <c r="C202" s="6" t="s">
        <v>264</v>
      </c>
      <c r="D202" s="6" t="s">
        <v>265</v>
      </c>
      <c r="E202" s="6" t="s">
        <v>266</v>
      </c>
      <c r="F202" s="6">
        <v>3</v>
      </c>
      <c r="G202" s="6" t="s">
        <v>501</v>
      </c>
      <c r="H202" s="6" t="s">
        <v>268</v>
      </c>
    </row>
    <row r="203" spans="1:8" x14ac:dyDescent="0.3">
      <c r="A203" s="6" t="s">
        <v>502</v>
      </c>
      <c r="B203" s="6" t="s">
        <v>191</v>
      </c>
      <c r="C203" s="6" t="s">
        <v>43</v>
      </c>
      <c r="D203" s="6" t="s">
        <v>270</v>
      </c>
      <c r="E203" s="6" t="s">
        <v>266</v>
      </c>
      <c r="F203" s="6">
        <v>3</v>
      </c>
      <c r="G203" s="6" t="s">
        <v>501</v>
      </c>
      <c r="H203" s="6" t="s">
        <v>268</v>
      </c>
    </row>
    <row r="204" spans="1:8" x14ac:dyDescent="0.3">
      <c r="A204" s="6" t="s">
        <v>503</v>
      </c>
      <c r="B204" s="6" t="s">
        <v>191</v>
      </c>
      <c r="C204" s="6" t="s">
        <v>272</v>
      </c>
      <c r="D204" s="6" t="s">
        <v>273</v>
      </c>
      <c r="E204" s="6" t="s">
        <v>266</v>
      </c>
      <c r="F204" s="6">
        <v>3</v>
      </c>
      <c r="G204" s="6" t="s">
        <v>501</v>
      </c>
      <c r="H204" s="6" t="s">
        <v>268</v>
      </c>
    </row>
    <row r="205" spans="1:8" x14ac:dyDescent="0.3">
      <c r="A205" s="6" t="s">
        <v>504</v>
      </c>
      <c r="B205" s="6" t="s">
        <v>191</v>
      </c>
      <c r="C205" s="6" t="s">
        <v>46</v>
      </c>
      <c r="D205" s="6" t="s">
        <v>275</v>
      </c>
      <c r="E205" s="6" t="s">
        <v>266</v>
      </c>
      <c r="F205" s="6">
        <v>3</v>
      </c>
      <c r="G205" s="6" t="s">
        <v>501</v>
      </c>
      <c r="H205" s="6" t="s">
        <v>268</v>
      </c>
    </row>
    <row r="206" spans="1:8" x14ac:dyDescent="0.3">
      <c r="A206" s="6" t="s">
        <v>505</v>
      </c>
      <c r="B206" s="6" t="s">
        <v>191</v>
      </c>
      <c r="C206" s="6" t="s">
        <v>277</v>
      </c>
      <c r="D206" s="6" t="s">
        <v>278</v>
      </c>
      <c r="E206" s="6" t="s">
        <v>266</v>
      </c>
      <c r="F206" s="6">
        <v>3</v>
      </c>
      <c r="G206" s="6" t="s">
        <v>501</v>
      </c>
      <c r="H206" s="6" t="s">
        <v>268</v>
      </c>
    </row>
    <row r="207" spans="1:8" x14ac:dyDescent="0.3">
      <c r="A207" s="6" t="s">
        <v>506</v>
      </c>
      <c r="B207" s="6" t="s">
        <v>191</v>
      </c>
      <c r="C207" s="6" t="s">
        <v>48</v>
      </c>
      <c r="D207" s="6" t="s">
        <v>280</v>
      </c>
      <c r="E207" s="6" t="s">
        <v>266</v>
      </c>
      <c r="F207" s="6">
        <v>3</v>
      </c>
      <c r="G207" s="6" t="s">
        <v>501</v>
      </c>
      <c r="H207" s="6" t="s">
        <v>268</v>
      </c>
    </row>
    <row r="208" spans="1:8" x14ac:dyDescent="0.3">
      <c r="A208" s="6" t="s">
        <v>507</v>
      </c>
      <c r="B208" s="6" t="s">
        <v>191</v>
      </c>
      <c r="C208" s="6" t="s">
        <v>49</v>
      </c>
      <c r="D208" s="6" t="s">
        <v>282</v>
      </c>
      <c r="E208" s="6" t="s">
        <v>266</v>
      </c>
      <c r="F208" s="6">
        <v>3</v>
      </c>
      <c r="G208" s="6" t="s">
        <v>501</v>
      </c>
      <c r="H208" s="6" t="s">
        <v>268</v>
      </c>
    </row>
    <row r="209" spans="1:8" x14ac:dyDescent="0.3">
      <c r="A209" s="6" t="s">
        <v>508</v>
      </c>
      <c r="B209" s="6" t="s">
        <v>191</v>
      </c>
      <c r="C209" s="6" t="s">
        <v>50</v>
      </c>
      <c r="D209" s="6" t="s">
        <v>284</v>
      </c>
      <c r="E209" s="6" t="s">
        <v>266</v>
      </c>
      <c r="F209" s="6">
        <v>3</v>
      </c>
      <c r="G209" s="6" t="s">
        <v>501</v>
      </c>
      <c r="H209" s="6" t="s">
        <v>268</v>
      </c>
    </row>
    <row r="210" spans="1:8" x14ac:dyDescent="0.3">
      <c r="A210" s="6" t="s">
        <v>509</v>
      </c>
      <c r="B210" s="6" t="s">
        <v>191</v>
      </c>
      <c r="C210" s="6" t="s">
        <v>286</v>
      </c>
      <c r="D210" s="6" t="s">
        <v>287</v>
      </c>
      <c r="E210" s="6" t="s">
        <v>266</v>
      </c>
      <c r="F210" s="6">
        <v>3</v>
      </c>
      <c r="G210" s="6" t="s">
        <v>501</v>
      </c>
      <c r="H210" s="6" t="s">
        <v>268</v>
      </c>
    </row>
    <row r="211" spans="1:8" x14ac:dyDescent="0.3">
      <c r="A211" s="6" t="s">
        <v>510</v>
      </c>
      <c r="B211" s="6" t="s">
        <v>191</v>
      </c>
      <c r="C211" s="6" t="s">
        <v>289</v>
      </c>
      <c r="D211" s="6" t="s">
        <v>290</v>
      </c>
      <c r="E211" s="6" t="s">
        <v>266</v>
      </c>
      <c r="F211" s="6">
        <v>3</v>
      </c>
      <c r="G211" s="6" t="s">
        <v>501</v>
      </c>
      <c r="H211" s="6" t="s">
        <v>268</v>
      </c>
    </row>
    <row r="212" spans="1:8" x14ac:dyDescent="0.3">
      <c r="A212" s="6" t="s">
        <v>511</v>
      </c>
      <c r="B212" s="6" t="s">
        <v>195</v>
      </c>
      <c r="C212" s="6" t="s">
        <v>264</v>
      </c>
      <c r="D212" s="6" t="s">
        <v>265</v>
      </c>
      <c r="E212" s="6" t="s">
        <v>266</v>
      </c>
      <c r="F212" s="6">
        <v>3</v>
      </c>
      <c r="G212" s="6" t="s">
        <v>512</v>
      </c>
      <c r="H212" s="6" t="s">
        <v>268</v>
      </c>
    </row>
    <row r="213" spans="1:8" x14ac:dyDescent="0.3">
      <c r="A213" s="6" t="s">
        <v>513</v>
      </c>
      <c r="B213" s="6" t="s">
        <v>195</v>
      </c>
      <c r="C213" s="6" t="s">
        <v>43</v>
      </c>
      <c r="D213" s="6" t="s">
        <v>270</v>
      </c>
      <c r="E213" s="6" t="s">
        <v>266</v>
      </c>
      <c r="F213" s="6">
        <v>3</v>
      </c>
      <c r="G213" s="6" t="s">
        <v>512</v>
      </c>
      <c r="H213" s="6" t="s">
        <v>268</v>
      </c>
    </row>
    <row r="214" spans="1:8" x14ac:dyDescent="0.3">
      <c r="A214" s="6" t="s">
        <v>514</v>
      </c>
      <c r="B214" s="6" t="s">
        <v>195</v>
      </c>
      <c r="C214" s="6" t="s">
        <v>272</v>
      </c>
      <c r="D214" s="6" t="s">
        <v>273</v>
      </c>
      <c r="E214" s="6" t="s">
        <v>266</v>
      </c>
      <c r="F214" s="6">
        <v>3</v>
      </c>
      <c r="G214" s="6" t="s">
        <v>512</v>
      </c>
      <c r="H214" s="6" t="s">
        <v>268</v>
      </c>
    </row>
    <row r="215" spans="1:8" x14ac:dyDescent="0.3">
      <c r="A215" s="6" t="s">
        <v>515</v>
      </c>
      <c r="B215" s="6" t="s">
        <v>195</v>
      </c>
      <c r="C215" s="6" t="s">
        <v>46</v>
      </c>
      <c r="D215" s="6" t="s">
        <v>275</v>
      </c>
      <c r="E215" s="6" t="s">
        <v>266</v>
      </c>
      <c r="F215" s="6">
        <v>3</v>
      </c>
      <c r="G215" s="6" t="s">
        <v>512</v>
      </c>
      <c r="H215" s="6" t="s">
        <v>268</v>
      </c>
    </row>
    <row r="216" spans="1:8" x14ac:dyDescent="0.3">
      <c r="A216" s="6" t="s">
        <v>516</v>
      </c>
      <c r="B216" s="6" t="s">
        <v>195</v>
      </c>
      <c r="C216" s="6" t="s">
        <v>277</v>
      </c>
      <c r="D216" s="6" t="s">
        <v>278</v>
      </c>
      <c r="E216" s="6" t="s">
        <v>266</v>
      </c>
      <c r="F216" s="6">
        <v>3</v>
      </c>
      <c r="G216" s="6" t="s">
        <v>512</v>
      </c>
      <c r="H216" s="6" t="s">
        <v>268</v>
      </c>
    </row>
    <row r="217" spans="1:8" x14ac:dyDescent="0.3">
      <c r="A217" s="6" t="s">
        <v>517</v>
      </c>
      <c r="B217" s="6" t="s">
        <v>195</v>
      </c>
      <c r="C217" s="6" t="s">
        <v>48</v>
      </c>
      <c r="D217" s="6" t="s">
        <v>280</v>
      </c>
      <c r="E217" s="6" t="s">
        <v>266</v>
      </c>
      <c r="F217" s="6">
        <v>3</v>
      </c>
      <c r="G217" s="6" t="s">
        <v>512</v>
      </c>
      <c r="H217" s="6" t="s">
        <v>268</v>
      </c>
    </row>
    <row r="218" spans="1:8" x14ac:dyDescent="0.3">
      <c r="A218" s="6" t="s">
        <v>518</v>
      </c>
      <c r="B218" s="6" t="s">
        <v>195</v>
      </c>
      <c r="C218" s="6" t="s">
        <v>49</v>
      </c>
      <c r="D218" s="6" t="s">
        <v>282</v>
      </c>
      <c r="E218" s="6" t="s">
        <v>266</v>
      </c>
      <c r="F218" s="6">
        <v>3</v>
      </c>
      <c r="G218" s="6" t="s">
        <v>512</v>
      </c>
      <c r="H218" s="6" t="s">
        <v>268</v>
      </c>
    </row>
    <row r="219" spans="1:8" x14ac:dyDescent="0.3">
      <c r="A219" s="6" t="s">
        <v>519</v>
      </c>
      <c r="B219" s="6" t="s">
        <v>195</v>
      </c>
      <c r="C219" s="6" t="s">
        <v>50</v>
      </c>
      <c r="D219" s="6" t="s">
        <v>284</v>
      </c>
      <c r="E219" s="6" t="s">
        <v>266</v>
      </c>
      <c r="F219" s="6">
        <v>3</v>
      </c>
      <c r="G219" s="6" t="s">
        <v>512</v>
      </c>
      <c r="H219" s="6" t="s">
        <v>268</v>
      </c>
    </row>
    <row r="220" spans="1:8" x14ac:dyDescent="0.3">
      <c r="A220" s="6" t="s">
        <v>520</v>
      </c>
      <c r="B220" s="6" t="s">
        <v>195</v>
      </c>
      <c r="C220" s="6" t="s">
        <v>286</v>
      </c>
      <c r="D220" s="6" t="s">
        <v>287</v>
      </c>
      <c r="E220" s="6" t="s">
        <v>266</v>
      </c>
      <c r="F220" s="6">
        <v>3</v>
      </c>
      <c r="G220" s="6" t="s">
        <v>512</v>
      </c>
      <c r="H220" s="6" t="s">
        <v>268</v>
      </c>
    </row>
    <row r="221" spans="1:8" x14ac:dyDescent="0.3">
      <c r="A221" s="6" t="s">
        <v>521</v>
      </c>
      <c r="B221" s="6" t="s">
        <v>195</v>
      </c>
      <c r="C221" s="6" t="s">
        <v>289</v>
      </c>
      <c r="D221" s="6" t="s">
        <v>290</v>
      </c>
      <c r="E221" s="6" t="s">
        <v>266</v>
      </c>
      <c r="F221" s="6">
        <v>3</v>
      </c>
      <c r="G221" s="6" t="s">
        <v>512</v>
      </c>
      <c r="H221" s="6" t="s">
        <v>268</v>
      </c>
    </row>
    <row r="222" spans="1:8" x14ac:dyDescent="0.3">
      <c r="A222" s="6" t="s">
        <v>522</v>
      </c>
      <c r="B222" s="6" t="s">
        <v>199</v>
      </c>
      <c r="C222" s="6" t="s">
        <v>264</v>
      </c>
      <c r="D222" s="6" t="s">
        <v>265</v>
      </c>
      <c r="E222" s="6" t="s">
        <v>266</v>
      </c>
      <c r="F222" s="6">
        <v>3</v>
      </c>
      <c r="G222" s="6" t="s">
        <v>523</v>
      </c>
      <c r="H222" s="6" t="s">
        <v>268</v>
      </c>
    </row>
    <row r="223" spans="1:8" x14ac:dyDescent="0.3">
      <c r="A223" s="6" t="s">
        <v>524</v>
      </c>
      <c r="B223" s="6" t="s">
        <v>199</v>
      </c>
      <c r="C223" s="6" t="s">
        <v>43</v>
      </c>
      <c r="D223" s="6" t="s">
        <v>270</v>
      </c>
      <c r="E223" s="6" t="s">
        <v>266</v>
      </c>
      <c r="F223" s="6">
        <v>3</v>
      </c>
      <c r="G223" s="6" t="s">
        <v>523</v>
      </c>
      <c r="H223" s="6" t="s">
        <v>268</v>
      </c>
    </row>
    <row r="224" spans="1:8" x14ac:dyDescent="0.3">
      <c r="A224" s="6" t="s">
        <v>525</v>
      </c>
      <c r="B224" s="6" t="s">
        <v>199</v>
      </c>
      <c r="C224" s="6" t="s">
        <v>272</v>
      </c>
      <c r="D224" s="6" t="s">
        <v>273</v>
      </c>
      <c r="E224" s="6" t="s">
        <v>266</v>
      </c>
      <c r="F224" s="6">
        <v>3</v>
      </c>
      <c r="G224" s="6" t="s">
        <v>523</v>
      </c>
      <c r="H224" s="6" t="s">
        <v>268</v>
      </c>
    </row>
    <row r="225" spans="1:8" x14ac:dyDescent="0.3">
      <c r="A225" s="6" t="s">
        <v>526</v>
      </c>
      <c r="B225" s="6" t="s">
        <v>199</v>
      </c>
      <c r="C225" s="6" t="s">
        <v>46</v>
      </c>
      <c r="D225" s="6" t="s">
        <v>275</v>
      </c>
      <c r="E225" s="6" t="s">
        <v>266</v>
      </c>
      <c r="F225" s="6">
        <v>3</v>
      </c>
      <c r="G225" s="6" t="s">
        <v>523</v>
      </c>
      <c r="H225" s="6" t="s">
        <v>268</v>
      </c>
    </row>
    <row r="226" spans="1:8" x14ac:dyDescent="0.3">
      <c r="A226" s="6" t="s">
        <v>527</v>
      </c>
      <c r="B226" s="6" t="s">
        <v>199</v>
      </c>
      <c r="C226" s="6" t="s">
        <v>277</v>
      </c>
      <c r="D226" s="6" t="s">
        <v>278</v>
      </c>
      <c r="E226" s="6" t="s">
        <v>266</v>
      </c>
      <c r="F226" s="6">
        <v>3</v>
      </c>
      <c r="G226" s="6" t="s">
        <v>523</v>
      </c>
      <c r="H226" s="6" t="s">
        <v>268</v>
      </c>
    </row>
    <row r="227" spans="1:8" x14ac:dyDescent="0.3">
      <c r="A227" s="6" t="s">
        <v>528</v>
      </c>
      <c r="B227" s="6" t="s">
        <v>199</v>
      </c>
      <c r="C227" s="6" t="s">
        <v>48</v>
      </c>
      <c r="D227" s="6" t="s">
        <v>280</v>
      </c>
      <c r="E227" s="6" t="s">
        <v>266</v>
      </c>
      <c r="F227" s="6">
        <v>3</v>
      </c>
      <c r="G227" s="6" t="s">
        <v>523</v>
      </c>
      <c r="H227" s="6" t="s">
        <v>268</v>
      </c>
    </row>
    <row r="228" spans="1:8" x14ac:dyDescent="0.3">
      <c r="A228" s="6" t="s">
        <v>529</v>
      </c>
      <c r="B228" s="6" t="s">
        <v>199</v>
      </c>
      <c r="C228" s="6" t="s">
        <v>49</v>
      </c>
      <c r="D228" s="6" t="s">
        <v>282</v>
      </c>
      <c r="E228" s="6" t="s">
        <v>266</v>
      </c>
      <c r="F228" s="6">
        <v>3</v>
      </c>
      <c r="G228" s="6" t="s">
        <v>523</v>
      </c>
      <c r="H228" s="6" t="s">
        <v>268</v>
      </c>
    </row>
    <row r="229" spans="1:8" x14ac:dyDescent="0.3">
      <c r="A229" s="6" t="s">
        <v>530</v>
      </c>
      <c r="B229" s="6" t="s">
        <v>199</v>
      </c>
      <c r="C229" s="6" t="s">
        <v>50</v>
      </c>
      <c r="D229" s="6" t="s">
        <v>284</v>
      </c>
      <c r="E229" s="6" t="s">
        <v>266</v>
      </c>
      <c r="F229" s="6">
        <v>3</v>
      </c>
      <c r="G229" s="6" t="s">
        <v>523</v>
      </c>
      <c r="H229" s="6" t="s">
        <v>268</v>
      </c>
    </row>
    <row r="230" spans="1:8" x14ac:dyDescent="0.3">
      <c r="A230" s="6" t="s">
        <v>531</v>
      </c>
      <c r="B230" s="6" t="s">
        <v>199</v>
      </c>
      <c r="C230" s="6" t="s">
        <v>286</v>
      </c>
      <c r="D230" s="6" t="s">
        <v>287</v>
      </c>
      <c r="E230" s="6" t="s">
        <v>266</v>
      </c>
      <c r="F230" s="6">
        <v>3</v>
      </c>
      <c r="G230" s="6" t="s">
        <v>523</v>
      </c>
      <c r="H230" s="6" t="s">
        <v>268</v>
      </c>
    </row>
    <row r="231" spans="1:8" x14ac:dyDescent="0.3">
      <c r="A231" s="6" t="s">
        <v>532</v>
      </c>
      <c r="B231" s="6" t="s">
        <v>199</v>
      </c>
      <c r="C231" s="6" t="s">
        <v>289</v>
      </c>
      <c r="D231" s="6" t="s">
        <v>290</v>
      </c>
      <c r="E231" s="6" t="s">
        <v>266</v>
      </c>
      <c r="F231" s="6">
        <v>3</v>
      </c>
      <c r="G231" s="6" t="s">
        <v>523</v>
      </c>
      <c r="H231" s="6" t="s">
        <v>268</v>
      </c>
    </row>
    <row r="232" spans="1:8" x14ac:dyDescent="0.3">
      <c r="A232" s="6" t="s">
        <v>533</v>
      </c>
      <c r="B232" s="6" t="s">
        <v>203</v>
      </c>
      <c r="C232" s="6" t="s">
        <v>264</v>
      </c>
      <c r="D232" s="6" t="s">
        <v>265</v>
      </c>
      <c r="E232" s="6" t="s">
        <v>266</v>
      </c>
      <c r="F232" s="6">
        <v>3</v>
      </c>
      <c r="G232" s="6" t="s">
        <v>534</v>
      </c>
      <c r="H232" s="6" t="s">
        <v>268</v>
      </c>
    </row>
    <row r="233" spans="1:8" x14ac:dyDescent="0.3">
      <c r="A233" s="6" t="s">
        <v>535</v>
      </c>
      <c r="B233" s="6" t="s">
        <v>203</v>
      </c>
      <c r="C233" s="6" t="s">
        <v>43</v>
      </c>
      <c r="D233" s="6" t="s">
        <v>270</v>
      </c>
      <c r="E233" s="6" t="s">
        <v>266</v>
      </c>
      <c r="F233" s="6">
        <v>3</v>
      </c>
      <c r="G233" s="6" t="s">
        <v>534</v>
      </c>
      <c r="H233" s="6" t="s">
        <v>268</v>
      </c>
    </row>
    <row r="234" spans="1:8" x14ac:dyDescent="0.3">
      <c r="A234" s="6" t="s">
        <v>536</v>
      </c>
      <c r="B234" s="6" t="s">
        <v>203</v>
      </c>
      <c r="C234" s="6" t="s">
        <v>272</v>
      </c>
      <c r="D234" s="6" t="s">
        <v>273</v>
      </c>
      <c r="E234" s="6" t="s">
        <v>266</v>
      </c>
      <c r="F234" s="6">
        <v>3</v>
      </c>
      <c r="G234" s="6" t="s">
        <v>534</v>
      </c>
      <c r="H234" s="6" t="s">
        <v>268</v>
      </c>
    </row>
    <row r="235" spans="1:8" x14ac:dyDescent="0.3">
      <c r="A235" s="6" t="s">
        <v>537</v>
      </c>
      <c r="B235" s="6" t="s">
        <v>203</v>
      </c>
      <c r="C235" s="6" t="s">
        <v>46</v>
      </c>
      <c r="D235" s="6" t="s">
        <v>275</v>
      </c>
      <c r="E235" s="6" t="s">
        <v>266</v>
      </c>
      <c r="F235" s="6">
        <v>3</v>
      </c>
      <c r="G235" s="6" t="s">
        <v>534</v>
      </c>
      <c r="H235" s="6" t="s">
        <v>268</v>
      </c>
    </row>
    <row r="236" spans="1:8" x14ac:dyDescent="0.3">
      <c r="A236" s="6" t="s">
        <v>538</v>
      </c>
      <c r="B236" s="6" t="s">
        <v>203</v>
      </c>
      <c r="C236" s="6" t="s">
        <v>277</v>
      </c>
      <c r="D236" s="6" t="s">
        <v>278</v>
      </c>
      <c r="E236" s="6" t="s">
        <v>266</v>
      </c>
      <c r="F236" s="6">
        <v>3</v>
      </c>
      <c r="G236" s="6" t="s">
        <v>534</v>
      </c>
      <c r="H236" s="6" t="s">
        <v>268</v>
      </c>
    </row>
    <row r="237" spans="1:8" x14ac:dyDescent="0.3">
      <c r="A237" s="6" t="s">
        <v>539</v>
      </c>
      <c r="B237" s="6" t="s">
        <v>203</v>
      </c>
      <c r="C237" s="6" t="s">
        <v>48</v>
      </c>
      <c r="D237" s="6" t="s">
        <v>280</v>
      </c>
      <c r="E237" s="6" t="s">
        <v>266</v>
      </c>
      <c r="F237" s="6">
        <v>3</v>
      </c>
      <c r="G237" s="6" t="s">
        <v>534</v>
      </c>
      <c r="H237" s="6" t="s">
        <v>268</v>
      </c>
    </row>
    <row r="238" spans="1:8" x14ac:dyDescent="0.3">
      <c r="A238" s="6" t="s">
        <v>540</v>
      </c>
      <c r="B238" s="6" t="s">
        <v>203</v>
      </c>
      <c r="C238" s="6" t="s">
        <v>49</v>
      </c>
      <c r="D238" s="6" t="s">
        <v>282</v>
      </c>
      <c r="E238" s="6" t="s">
        <v>266</v>
      </c>
      <c r="F238" s="6">
        <v>3</v>
      </c>
      <c r="G238" s="6" t="s">
        <v>534</v>
      </c>
      <c r="H238" s="6" t="s">
        <v>268</v>
      </c>
    </row>
    <row r="239" spans="1:8" x14ac:dyDescent="0.3">
      <c r="A239" s="6" t="s">
        <v>541</v>
      </c>
      <c r="B239" s="6" t="s">
        <v>203</v>
      </c>
      <c r="C239" s="6" t="s">
        <v>50</v>
      </c>
      <c r="D239" s="6" t="s">
        <v>284</v>
      </c>
      <c r="E239" s="6" t="s">
        <v>266</v>
      </c>
      <c r="F239" s="6">
        <v>3</v>
      </c>
      <c r="G239" s="6" t="s">
        <v>534</v>
      </c>
      <c r="H239" s="6" t="s">
        <v>268</v>
      </c>
    </row>
    <row r="240" spans="1:8" x14ac:dyDescent="0.3">
      <c r="A240" s="6" t="s">
        <v>542</v>
      </c>
      <c r="B240" s="6" t="s">
        <v>203</v>
      </c>
      <c r="C240" s="6" t="s">
        <v>286</v>
      </c>
      <c r="D240" s="6" t="s">
        <v>287</v>
      </c>
      <c r="E240" s="6" t="s">
        <v>266</v>
      </c>
      <c r="F240" s="6">
        <v>3</v>
      </c>
      <c r="G240" s="6" t="s">
        <v>534</v>
      </c>
      <c r="H240" s="6" t="s">
        <v>268</v>
      </c>
    </row>
    <row r="241" spans="1:8" x14ac:dyDescent="0.3">
      <c r="A241" s="6" t="s">
        <v>543</v>
      </c>
      <c r="B241" s="6" t="s">
        <v>203</v>
      </c>
      <c r="C241" s="6" t="s">
        <v>289</v>
      </c>
      <c r="D241" s="6" t="s">
        <v>290</v>
      </c>
      <c r="E241" s="6" t="s">
        <v>266</v>
      </c>
      <c r="F241" s="6">
        <v>3</v>
      </c>
      <c r="G241" s="6" t="s">
        <v>534</v>
      </c>
      <c r="H241" s="6" t="s">
        <v>268</v>
      </c>
    </row>
    <row r="242" spans="1:8" x14ac:dyDescent="0.3">
      <c r="A242" s="6" t="s">
        <v>544</v>
      </c>
      <c r="B242" s="6" t="s">
        <v>207</v>
      </c>
      <c r="C242" s="6" t="s">
        <v>264</v>
      </c>
      <c r="D242" s="6" t="s">
        <v>265</v>
      </c>
      <c r="E242" s="6" t="s">
        <v>266</v>
      </c>
      <c r="F242" s="6">
        <v>3</v>
      </c>
      <c r="G242" s="6" t="s">
        <v>545</v>
      </c>
      <c r="H242" s="6" t="s">
        <v>268</v>
      </c>
    </row>
    <row r="243" spans="1:8" x14ac:dyDescent="0.3">
      <c r="A243" s="6" t="s">
        <v>546</v>
      </c>
      <c r="B243" s="6" t="s">
        <v>207</v>
      </c>
      <c r="C243" s="6" t="s">
        <v>43</v>
      </c>
      <c r="D243" s="6" t="s">
        <v>270</v>
      </c>
      <c r="E243" s="6" t="s">
        <v>266</v>
      </c>
      <c r="F243" s="6">
        <v>3</v>
      </c>
      <c r="G243" s="6" t="s">
        <v>545</v>
      </c>
      <c r="H243" s="6" t="s">
        <v>268</v>
      </c>
    </row>
    <row r="244" spans="1:8" x14ac:dyDescent="0.3">
      <c r="A244" s="6" t="s">
        <v>547</v>
      </c>
      <c r="B244" s="6" t="s">
        <v>207</v>
      </c>
      <c r="C244" s="6" t="s">
        <v>272</v>
      </c>
      <c r="D244" s="6" t="s">
        <v>273</v>
      </c>
      <c r="E244" s="6" t="s">
        <v>266</v>
      </c>
      <c r="F244" s="6">
        <v>3</v>
      </c>
      <c r="G244" s="6" t="s">
        <v>545</v>
      </c>
      <c r="H244" s="6" t="s">
        <v>268</v>
      </c>
    </row>
    <row r="245" spans="1:8" x14ac:dyDescent="0.3">
      <c r="A245" s="6" t="s">
        <v>548</v>
      </c>
      <c r="B245" s="6" t="s">
        <v>207</v>
      </c>
      <c r="C245" s="6" t="s">
        <v>46</v>
      </c>
      <c r="D245" s="6" t="s">
        <v>275</v>
      </c>
      <c r="E245" s="6" t="s">
        <v>266</v>
      </c>
      <c r="F245" s="6">
        <v>3</v>
      </c>
      <c r="G245" s="6" t="s">
        <v>545</v>
      </c>
      <c r="H245" s="6" t="s">
        <v>268</v>
      </c>
    </row>
    <row r="246" spans="1:8" x14ac:dyDescent="0.3">
      <c r="A246" s="6" t="s">
        <v>549</v>
      </c>
      <c r="B246" s="6" t="s">
        <v>207</v>
      </c>
      <c r="C246" s="6" t="s">
        <v>277</v>
      </c>
      <c r="D246" s="6" t="s">
        <v>278</v>
      </c>
      <c r="E246" s="6" t="s">
        <v>266</v>
      </c>
      <c r="F246" s="6">
        <v>3</v>
      </c>
      <c r="G246" s="6" t="s">
        <v>545</v>
      </c>
      <c r="H246" s="6" t="s">
        <v>268</v>
      </c>
    </row>
    <row r="247" spans="1:8" x14ac:dyDescent="0.3">
      <c r="A247" s="6" t="s">
        <v>550</v>
      </c>
      <c r="B247" s="6" t="s">
        <v>207</v>
      </c>
      <c r="C247" s="6" t="s">
        <v>48</v>
      </c>
      <c r="D247" s="6" t="s">
        <v>280</v>
      </c>
      <c r="E247" s="6" t="s">
        <v>266</v>
      </c>
      <c r="F247" s="6">
        <v>3</v>
      </c>
      <c r="G247" s="6" t="s">
        <v>545</v>
      </c>
      <c r="H247" s="6" t="s">
        <v>268</v>
      </c>
    </row>
    <row r="248" spans="1:8" x14ac:dyDescent="0.3">
      <c r="A248" s="6" t="s">
        <v>551</v>
      </c>
      <c r="B248" s="6" t="s">
        <v>207</v>
      </c>
      <c r="C248" s="6" t="s">
        <v>49</v>
      </c>
      <c r="D248" s="6" t="s">
        <v>282</v>
      </c>
      <c r="E248" s="6" t="s">
        <v>266</v>
      </c>
      <c r="F248" s="6">
        <v>3</v>
      </c>
      <c r="G248" s="6" t="s">
        <v>545</v>
      </c>
      <c r="H248" s="6" t="s">
        <v>268</v>
      </c>
    </row>
    <row r="249" spans="1:8" x14ac:dyDescent="0.3">
      <c r="A249" s="6" t="s">
        <v>552</v>
      </c>
      <c r="B249" s="6" t="s">
        <v>207</v>
      </c>
      <c r="C249" s="6" t="s">
        <v>50</v>
      </c>
      <c r="D249" s="6" t="s">
        <v>284</v>
      </c>
      <c r="E249" s="6" t="s">
        <v>266</v>
      </c>
      <c r="F249" s="6">
        <v>3</v>
      </c>
      <c r="G249" s="6" t="s">
        <v>545</v>
      </c>
      <c r="H249" s="6" t="s">
        <v>268</v>
      </c>
    </row>
    <row r="250" spans="1:8" x14ac:dyDescent="0.3">
      <c r="A250" s="6" t="s">
        <v>553</v>
      </c>
      <c r="B250" s="6" t="s">
        <v>207</v>
      </c>
      <c r="C250" s="6" t="s">
        <v>286</v>
      </c>
      <c r="D250" s="6" t="s">
        <v>287</v>
      </c>
      <c r="E250" s="6" t="s">
        <v>266</v>
      </c>
      <c r="F250" s="6">
        <v>3</v>
      </c>
      <c r="G250" s="6" t="s">
        <v>545</v>
      </c>
      <c r="H250" s="6" t="s">
        <v>268</v>
      </c>
    </row>
    <row r="251" spans="1:8" x14ac:dyDescent="0.3">
      <c r="A251" s="6" t="s">
        <v>554</v>
      </c>
      <c r="B251" s="6" t="s">
        <v>207</v>
      </c>
      <c r="C251" s="6" t="s">
        <v>289</v>
      </c>
      <c r="D251" s="6" t="s">
        <v>290</v>
      </c>
      <c r="E251" s="6" t="s">
        <v>266</v>
      </c>
      <c r="F251" s="6">
        <v>3</v>
      </c>
      <c r="G251" s="6" t="s">
        <v>545</v>
      </c>
      <c r="H251" s="6" t="s">
        <v>268</v>
      </c>
    </row>
    <row r="252" spans="1:8" x14ac:dyDescent="0.3">
      <c r="A252" s="6" t="s">
        <v>555</v>
      </c>
      <c r="B252" s="6" t="s">
        <v>211</v>
      </c>
      <c r="C252" s="6" t="s">
        <v>264</v>
      </c>
      <c r="D252" s="6" t="s">
        <v>265</v>
      </c>
      <c r="E252" s="6" t="s">
        <v>266</v>
      </c>
      <c r="F252" s="6">
        <v>3</v>
      </c>
      <c r="G252" s="6" t="s">
        <v>556</v>
      </c>
      <c r="H252" s="6" t="s">
        <v>268</v>
      </c>
    </row>
    <row r="253" spans="1:8" x14ac:dyDescent="0.3">
      <c r="A253" s="6" t="s">
        <v>557</v>
      </c>
      <c r="B253" s="6" t="s">
        <v>211</v>
      </c>
      <c r="C253" s="6" t="s">
        <v>43</v>
      </c>
      <c r="D253" s="6" t="s">
        <v>270</v>
      </c>
      <c r="E253" s="6" t="s">
        <v>266</v>
      </c>
      <c r="F253" s="6">
        <v>3</v>
      </c>
      <c r="G253" s="6" t="s">
        <v>556</v>
      </c>
      <c r="H253" s="6" t="s">
        <v>268</v>
      </c>
    </row>
    <row r="254" spans="1:8" x14ac:dyDescent="0.3">
      <c r="A254" s="6" t="s">
        <v>558</v>
      </c>
      <c r="B254" s="6" t="s">
        <v>211</v>
      </c>
      <c r="C254" s="6" t="s">
        <v>272</v>
      </c>
      <c r="D254" s="6" t="s">
        <v>273</v>
      </c>
      <c r="E254" s="6" t="s">
        <v>266</v>
      </c>
      <c r="F254" s="6">
        <v>3</v>
      </c>
      <c r="G254" s="6" t="s">
        <v>556</v>
      </c>
      <c r="H254" s="6" t="s">
        <v>268</v>
      </c>
    </row>
    <row r="255" spans="1:8" x14ac:dyDescent="0.3">
      <c r="A255" s="6" t="s">
        <v>559</v>
      </c>
      <c r="B255" s="6" t="s">
        <v>211</v>
      </c>
      <c r="C255" s="6" t="s">
        <v>46</v>
      </c>
      <c r="D255" s="6" t="s">
        <v>275</v>
      </c>
      <c r="E255" s="6" t="s">
        <v>266</v>
      </c>
      <c r="F255" s="6">
        <v>3</v>
      </c>
      <c r="G255" s="6" t="s">
        <v>556</v>
      </c>
      <c r="H255" s="6" t="s">
        <v>268</v>
      </c>
    </row>
    <row r="256" spans="1:8" x14ac:dyDescent="0.3">
      <c r="A256" s="6" t="s">
        <v>560</v>
      </c>
      <c r="B256" s="6" t="s">
        <v>211</v>
      </c>
      <c r="C256" s="6" t="s">
        <v>277</v>
      </c>
      <c r="D256" s="6" t="s">
        <v>278</v>
      </c>
      <c r="E256" s="6" t="s">
        <v>266</v>
      </c>
      <c r="F256" s="6">
        <v>3</v>
      </c>
      <c r="G256" s="6" t="s">
        <v>556</v>
      </c>
      <c r="H256" s="6" t="s">
        <v>268</v>
      </c>
    </row>
    <row r="257" spans="1:8" x14ac:dyDescent="0.3">
      <c r="A257" s="6" t="s">
        <v>561</v>
      </c>
      <c r="B257" s="6" t="s">
        <v>211</v>
      </c>
      <c r="C257" s="6" t="s">
        <v>48</v>
      </c>
      <c r="D257" s="6" t="s">
        <v>280</v>
      </c>
      <c r="E257" s="6" t="s">
        <v>266</v>
      </c>
      <c r="F257" s="6">
        <v>3</v>
      </c>
      <c r="G257" s="6" t="s">
        <v>556</v>
      </c>
      <c r="H257" s="6" t="s">
        <v>268</v>
      </c>
    </row>
    <row r="258" spans="1:8" x14ac:dyDescent="0.3">
      <c r="A258" s="6" t="s">
        <v>562</v>
      </c>
      <c r="B258" s="6" t="s">
        <v>211</v>
      </c>
      <c r="C258" s="6" t="s">
        <v>49</v>
      </c>
      <c r="D258" s="6" t="s">
        <v>282</v>
      </c>
      <c r="E258" s="6" t="s">
        <v>266</v>
      </c>
      <c r="F258" s="6">
        <v>3</v>
      </c>
      <c r="G258" s="6" t="s">
        <v>556</v>
      </c>
      <c r="H258" s="6" t="s">
        <v>268</v>
      </c>
    </row>
    <row r="259" spans="1:8" x14ac:dyDescent="0.3">
      <c r="A259" s="6" t="s">
        <v>563</v>
      </c>
      <c r="B259" s="6" t="s">
        <v>211</v>
      </c>
      <c r="C259" s="6" t="s">
        <v>50</v>
      </c>
      <c r="D259" s="6" t="s">
        <v>284</v>
      </c>
      <c r="E259" s="6" t="s">
        <v>266</v>
      </c>
      <c r="F259" s="6">
        <v>3</v>
      </c>
      <c r="G259" s="6" t="s">
        <v>556</v>
      </c>
      <c r="H259" s="6" t="s">
        <v>268</v>
      </c>
    </row>
    <row r="260" spans="1:8" x14ac:dyDescent="0.3">
      <c r="A260" s="6" t="s">
        <v>564</v>
      </c>
      <c r="B260" s="6" t="s">
        <v>211</v>
      </c>
      <c r="C260" s="6" t="s">
        <v>286</v>
      </c>
      <c r="D260" s="6" t="s">
        <v>287</v>
      </c>
      <c r="E260" s="6" t="s">
        <v>266</v>
      </c>
      <c r="F260" s="6">
        <v>3</v>
      </c>
      <c r="G260" s="6" t="s">
        <v>556</v>
      </c>
      <c r="H260" s="6" t="s">
        <v>268</v>
      </c>
    </row>
    <row r="261" spans="1:8" x14ac:dyDescent="0.3">
      <c r="A261" s="6" t="s">
        <v>565</v>
      </c>
      <c r="B261" s="6" t="s">
        <v>211</v>
      </c>
      <c r="C261" s="6" t="s">
        <v>289</v>
      </c>
      <c r="D261" s="6" t="s">
        <v>290</v>
      </c>
      <c r="E261" s="6" t="s">
        <v>266</v>
      </c>
      <c r="F261" s="6">
        <v>3</v>
      </c>
      <c r="G261" s="6" t="s">
        <v>556</v>
      </c>
      <c r="H261" s="6" t="s">
        <v>268</v>
      </c>
    </row>
    <row r="262" spans="1:8" x14ac:dyDescent="0.3">
      <c r="A262" s="6" t="s">
        <v>566</v>
      </c>
      <c r="B262" s="6" t="s">
        <v>215</v>
      </c>
      <c r="C262" s="6" t="s">
        <v>264</v>
      </c>
      <c r="D262" s="6" t="s">
        <v>265</v>
      </c>
      <c r="E262" s="6" t="s">
        <v>266</v>
      </c>
      <c r="F262" s="6">
        <v>3</v>
      </c>
      <c r="G262" s="6" t="s">
        <v>567</v>
      </c>
      <c r="H262" s="6" t="s">
        <v>268</v>
      </c>
    </row>
    <row r="263" spans="1:8" x14ac:dyDescent="0.3">
      <c r="A263" s="6" t="s">
        <v>568</v>
      </c>
      <c r="B263" s="6" t="s">
        <v>215</v>
      </c>
      <c r="C263" s="6" t="s">
        <v>43</v>
      </c>
      <c r="D263" s="6" t="s">
        <v>270</v>
      </c>
      <c r="E263" s="6" t="s">
        <v>266</v>
      </c>
      <c r="F263" s="6">
        <v>3</v>
      </c>
      <c r="G263" s="6" t="s">
        <v>567</v>
      </c>
      <c r="H263" s="6" t="s">
        <v>268</v>
      </c>
    </row>
    <row r="264" spans="1:8" x14ac:dyDescent="0.3">
      <c r="A264" s="6" t="s">
        <v>569</v>
      </c>
      <c r="B264" s="6" t="s">
        <v>215</v>
      </c>
      <c r="C264" s="6" t="s">
        <v>272</v>
      </c>
      <c r="D264" s="6" t="s">
        <v>273</v>
      </c>
      <c r="E264" s="6" t="s">
        <v>266</v>
      </c>
      <c r="F264" s="6">
        <v>3</v>
      </c>
      <c r="G264" s="6" t="s">
        <v>567</v>
      </c>
      <c r="H264" s="6" t="s">
        <v>268</v>
      </c>
    </row>
    <row r="265" spans="1:8" x14ac:dyDescent="0.3">
      <c r="A265" s="6" t="s">
        <v>570</v>
      </c>
      <c r="B265" s="6" t="s">
        <v>215</v>
      </c>
      <c r="C265" s="6" t="s">
        <v>46</v>
      </c>
      <c r="D265" s="6" t="s">
        <v>275</v>
      </c>
      <c r="E265" s="6" t="s">
        <v>266</v>
      </c>
      <c r="F265" s="6">
        <v>3</v>
      </c>
      <c r="G265" s="6" t="s">
        <v>567</v>
      </c>
      <c r="H265" s="6" t="s">
        <v>268</v>
      </c>
    </row>
    <row r="266" spans="1:8" x14ac:dyDescent="0.3">
      <c r="A266" s="6" t="s">
        <v>571</v>
      </c>
      <c r="B266" s="6" t="s">
        <v>215</v>
      </c>
      <c r="C266" s="6" t="s">
        <v>277</v>
      </c>
      <c r="D266" s="6" t="s">
        <v>278</v>
      </c>
      <c r="E266" s="6" t="s">
        <v>266</v>
      </c>
      <c r="F266" s="6">
        <v>3</v>
      </c>
      <c r="G266" s="6" t="s">
        <v>567</v>
      </c>
      <c r="H266" s="6" t="s">
        <v>268</v>
      </c>
    </row>
    <row r="267" spans="1:8" x14ac:dyDescent="0.3">
      <c r="A267" s="6" t="s">
        <v>572</v>
      </c>
      <c r="B267" s="6" t="s">
        <v>215</v>
      </c>
      <c r="C267" s="6" t="s">
        <v>48</v>
      </c>
      <c r="D267" s="6" t="s">
        <v>280</v>
      </c>
      <c r="E267" s="6" t="s">
        <v>266</v>
      </c>
      <c r="F267" s="6">
        <v>3</v>
      </c>
      <c r="G267" s="6" t="s">
        <v>567</v>
      </c>
      <c r="H267" s="6" t="s">
        <v>268</v>
      </c>
    </row>
    <row r="268" spans="1:8" x14ac:dyDescent="0.3">
      <c r="A268" s="6" t="s">
        <v>573</v>
      </c>
      <c r="B268" s="6" t="s">
        <v>215</v>
      </c>
      <c r="C268" s="6" t="s">
        <v>49</v>
      </c>
      <c r="D268" s="6" t="s">
        <v>282</v>
      </c>
      <c r="E268" s="6" t="s">
        <v>266</v>
      </c>
      <c r="F268" s="6">
        <v>3</v>
      </c>
      <c r="G268" s="6" t="s">
        <v>567</v>
      </c>
      <c r="H268" s="6" t="s">
        <v>268</v>
      </c>
    </row>
    <row r="269" spans="1:8" x14ac:dyDescent="0.3">
      <c r="A269" s="6" t="s">
        <v>574</v>
      </c>
      <c r="B269" s="6" t="s">
        <v>215</v>
      </c>
      <c r="C269" s="6" t="s">
        <v>50</v>
      </c>
      <c r="D269" s="6" t="s">
        <v>284</v>
      </c>
      <c r="E269" s="6" t="s">
        <v>266</v>
      </c>
      <c r="F269" s="6">
        <v>3</v>
      </c>
      <c r="G269" s="6" t="s">
        <v>567</v>
      </c>
      <c r="H269" s="6" t="s">
        <v>268</v>
      </c>
    </row>
    <row r="270" spans="1:8" x14ac:dyDescent="0.3">
      <c r="A270" s="6" t="s">
        <v>575</v>
      </c>
      <c r="B270" s="6" t="s">
        <v>215</v>
      </c>
      <c r="C270" s="6" t="s">
        <v>286</v>
      </c>
      <c r="D270" s="6" t="s">
        <v>287</v>
      </c>
      <c r="E270" s="6" t="s">
        <v>266</v>
      </c>
      <c r="F270" s="6">
        <v>3</v>
      </c>
      <c r="G270" s="6" t="s">
        <v>567</v>
      </c>
      <c r="H270" s="6" t="s">
        <v>268</v>
      </c>
    </row>
    <row r="271" spans="1:8" x14ac:dyDescent="0.3">
      <c r="A271" s="6" t="s">
        <v>576</v>
      </c>
      <c r="B271" s="6" t="s">
        <v>215</v>
      </c>
      <c r="C271" s="6" t="s">
        <v>289</v>
      </c>
      <c r="D271" s="6" t="s">
        <v>290</v>
      </c>
      <c r="E271" s="6" t="s">
        <v>266</v>
      </c>
      <c r="F271" s="6">
        <v>3</v>
      </c>
      <c r="G271" s="6" t="s">
        <v>567</v>
      </c>
      <c r="H271" s="6" t="s">
        <v>268</v>
      </c>
    </row>
    <row r="272" spans="1:8" x14ac:dyDescent="0.3">
      <c r="A272" s="6" t="s">
        <v>577</v>
      </c>
      <c r="B272" s="6" t="s">
        <v>219</v>
      </c>
      <c r="C272" s="6" t="s">
        <v>264</v>
      </c>
      <c r="D272" s="6" t="s">
        <v>265</v>
      </c>
      <c r="E272" s="6" t="s">
        <v>266</v>
      </c>
      <c r="F272" s="6">
        <v>3</v>
      </c>
      <c r="G272" s="6" t="s">
        <v>578</v>
      </c>
      <c r="H272" s="6" t="s">
        <v>268</v>
      </c>
    </row>
    <row r="273" spans="1:8" x14ac:dyDescent="0.3">
      <c r="A273" s="6" t="s">
        <v>579</v>
      </c>
      <c r="B273" s="6" t="s">
        <v>219</v>
      </c>
      <c r="C273" s="6" t="s">
        <v>43</v>
      </c>
      <c r="D273" s="6" t="s">
        <v>270</v>
      </c>
      <c r="E273" s="6" t="s">
        <v>266</v>
      </c>
      <c r="F273" s="6">
        <v>3</v>
      </c>
      <c r="G273" s="6" t="s">
        <v>578</v>
      </c>
      <c r="H273" s="6" t="s">
        <v>268</v>
      </c>
    </row>
    <row r="274" spans="1:8" x14ac:dyDescent="0.3">
      <c r="A274" s="6" t="s">
        <v>580</v>
      </c>
      <c r="B274" s="6" t="s">
        <v>219</v>
      </c>
      <c r="C274" s="6" t="s">
        <v>272</v>
      </c>
      <c r="D274" s="6" t="s">
        <v>273</v>
      </c>
      <c r="E274" s="6" t="s">
        <v>266</v>
      </c>
      <c r="F274" s="6">
        <v>3</v>
      </c>
      <c r="G274" s="6" t="s">
        <v>578</v>
      </c>
      <c r="H274" s="6" t="s">
        <v>268</v>
      </c>
    </row>
    <row r="275" spans="1:8" x14ac:dyDescent="0.3">
      <c r="A275" s="6" t="s">
        <v>581</v>
      </c>
      <c r="B275" s="6" t="s">
        <v>219</v>
      </c>
      <c r="C275" s="6" t="s">
        <v>46</v>
      </c>
      <c r="D275" s="6" t="s">
        <v>275</v>
      </c>
      <c r="E275" s="6" t="s">
        <v>266</v>
      </c>
      <c r="F275" s="6">
        <v>3</v>
      </c>
      <c r="G275" s="6" t="s">
        <v>578</v>
      </c>
      <c r="H275" s="6" t="s">
        <v>268</v>
      </c>
    </row>
    <row r="276" spans="1:8" x14ac:dyDescent="0.3">
      <c r="A276" s="6" t="s">
        <v>582</v>
      </c>
      <c r="B276" s="6" t="s">
        <v>219</v>
      </c>
      <c r="C276" s="6" t="s">
        <v>277</v>
      </c>
      <c r="D276" s="6" t="s">
        <v>278</v>
      </c>
      <c r="E276" s="6" t="s">
        <v>266</v>
      </c>
      <c r="F276" s="6">
        <v>3</v>
      </c>
      <c r="G276" s="6" t="s">
        <v>578</v>
      </c>
      <c r="H276" s="6" t="s">
        <v>268</v>
      </c>
    </row>
    <row r="277" spans="1:8" x14ac:dyDescent="0.3">
      <c r="A277" s="6" t="s">
        <v>583</v>
      </c>
      <c r="B277" s="6" t="s">
        <v>219</v>
      </c>
      <c r="C277" s="6" t="s">
        <v>48</v>
      </c>
      <c r="D277" s="6" t="s">
        <v>280</v>
      </c>
      <c r="E277" s="6" t="s">
        <v>266</v>
      </c>
      <c r="F277" s="6">
        <v>3</v>
      </c>
      <c r="G277" s="6" t="s">
        <v>578</v>
      </c>
      <c r="H277" s="6" t="s">
        <v>268</v>
      </c>
    </row>
    <row r="278" spans="1:8" x14ac:dyDescent="0.3">
      <c r="A278" s="6" t="s">
        <v>584</v>
      </c>
      <c r="B278" s="6" t="s">
        <v>219</v>
      </c>
      <c r="C278" s="6" t="s">
        <v>49</v>
      </c>
      <c r="D278" s="6" t="s">
        <v>282</v>
      </c>
      <c r="E278" s="6" t="s">
        <v>266</v>
      </c>
      <c r="F278" s="6">
        <v>3</v>
      </c>
      <c r="G278" s="6" t="s">
        <v>578</v>
      </c>
      <c r="H278" s="6" t="s">
        <v>268</v>
      </c>
    </row>
    <row r="279" spans="1:8" x14ac:dyDescent="0.3">
      <c r="A279" s="6" t="s">
        <v>585</v>
      </c>
      <c r="B279" s="6" t="s">
        <v>219</v>
      </c>
      <c r="C279" s="6" t="s">
        <v>50</v>
      </c>
      <c r="D279" s="6" t="s">
        <v>284</v>
      </c>
      <c r="E279" s="6" t="s">
        <v>266</v>
      </c>
      <c r="F279" s="6">
        <v>3</v>
      </c>
      <c r="G279" s="6" t="s">
        <v>578</v>
      </c>
      <c r="H279" s="6" t="s">
        <v>268</v>
      </c>
    </row>
    <row r="280" spans="1:8" x14ac:dyDescent="0.3">
      <c r="A280" s="6" t="s">
        <v>586</v>
      </c>
      <c r="B280" s="6" t="s">
        <v>219</v>
      </c>
      <c r="C280" s="6" t="s">
        <v>286</v>
      </c>
      <c r="D280" s="6" t="s">
        <v>287</v>
      </c>
      <c r="E280" s="6" t="s">
        <v>266</v>
      </c>
      <c r="F280" s="6">
        <v>3</v>
      </c>
      <c r="G280" s="6" t="s">
        <v>578</v>
      </c>
      <c r="H280" s="6" t="s">
        <v>268</v>
      </c>
    </row>
    <row r="281" spans="1:8" x14ac:dyDescent="0.3">
      <c r="A281" s="6" t="s">
        <v>587</v>
      </c>
      <c r="B281" s="6" t="s">
        <v>219</v>
      </c>
      <c r="C281" s="6" t="s">
        <v>289</v>
      </c>
      <c r="D281" s="6" t="s">
        <v>290</v>
      </c>
      <c r="E281" s="6" t="s">
        <v>266</v>
      </c>
      <c r="F281" s="6">
        <v>3</v>
      </c>
      <c r="G281" s="6" t="s">
        <v>578</v>
      </c>
      <c r="H281" s="6" t="s">
        <v>268</v>
      </c>
    </row>
    <row r="282" spans="1:8" x14ac:dyDescent="0.3">
      <c r="A282" s="6" t="s">
        <v>588</v>
      </c>
      <c r="B282" s="6" t="s">
        <v>223</v>
      </c>
      <c r="C282" s="6" t="s">
        <v>264</v>
      </c>
      <c r="D282" s="6" t="s">
        <v>265</v>
      </c>
      <c r="E282" s="6" t="s">
        <v>266</v>
      </c>
      <c r="F282" s="6">
        <v>3</v>
      </c>
      <c r="G282" s="6" t="s">
        <v>589</v>
      </c>
      <c r="H282" s="6" t="s">
        <v>268</v>
      </c>
    </row>
    <row r="283" spans="1:8" x14ac:dyDescent="0.3">
      <c r="A283" s="6" t="s">
        <v>590</v>
      </c>
      <c r="B283" s="6" t="s">
        <v>223</v>
      </c>
      <c r="C283" s="6" t="s">
        <v>43</v>
      </c>
      <c r="D283" s="6" t="s">
        <v>270</v>
      </c>
      <c r="E283" s="6" t="s">
        <v>266</v>
      </c>
      <c r="F283" s="6">
        <v>3</v>
      </c>
      <c r="G283" s="6" t="s">
        <v>589</v>
      </c>
      <c r="H283" s="6" t="s">
        <v>268</v>
      </c>
    </row>
    <row r="284" spans="1:8" x14ac:dyDescent="0.3">
      <c r="A284" s="6" t="s">
        <v>591</v>
      </c>
      <c r="B284" s="6" t="s">
        <v>223</v>
      </c>
      <c r="C284" s="6" t="s">
        <v>272</v>
      </c>
      <c r="D284" s="6" t="s">
        <v>273</v>
      </c>
      <c r="E284" s="6" t="s">
        <v>266</v>
      </c>
      <c r="F284" s="6">
        <v>3</v>
      </c>
      <c r="G284" s="6" t="s">
        <v>589</v>
      </c>
      <c r="H284" s="6" t="s">
        <v>268</v>
      </c>
    </row>
    <row r="285" spans="1:8" x14ac:dyDescent="0.3">
      <c r="A285" s="6" t="s">
        <v>592</v>
      </c>
      <c r="B285" s="6" t="s">
        <v>223</v>
      </c>
      <c r="C285" s="6" t="s">
        <v>46</v>
      </c>
      <c r="D285" s="6" t="s">
        <v>275</v>
      </c>
      <c r="E285" s="6" t="s">
        <v>266</v>
      </c>
      <c r="F285" s="6">
        <v>3</v>
      </c>
      <c r="G285" s="6" t="s">
        <v>589</v>
      </c>
      <c r="H285" s="6" t="s">
        <v>268</v>
      </c>
    </row>
    <row r="286" spans="1:8" x14ac:dyDescent="0.3">
      <c r="A286" s="6" t="s">
        <v>593</v>
      </c>
      <c r="B286" s="6" t="s">
        <v>223</v>
      </c>
      <c r="C286" s="6" t="s">
        <v>277</v>
      </c>
      <c r="D286" s="6" t="s">
        <v>278</v>
      </c>
      <c r="E286" s="6" t="s">
        <v>266</v>
      </c>
      <c r="F286" s="6">
        <v>3</v>
      </c>
      <c r="G286" s="6" t="s">
        <v>589</v>
      </c>
      <c r="H286" s="6" t="s">
        <v>268</v>
      </c>
    </row>
    <row r="287" spans="1:8" x14ac:dyDescent="0.3">
      <c r="A287" s="6" t="s">
        <v>594</v>
      </c>
      <c r="B287" s="6" t="s">
        <v>223</v>
      </c>
      <c r="C287" s="6" t="s">
        <v>48</v>
      </c>
      <c r="D287" s="6" t="s">
        <v>280</v>
      </c>
      <c r="E287" s="6" t="s">
        <v>266</v>
      </c>
      <c r="F287" s="6">
        <v>3</v>
      </c>
      <c r="G287" s="6" t="s">
        <v>589</v>
      </c>
      <c r="H287" s="6" t="s">
        <v>268</v>
      </c>
    </row>
    <row r="288" spans="1:8" x14ac:dyDescent="0.3">
      <c r="A288" s="6" t="s">
        <v>595</v>
      </c>
      <c r="B288" s="6" t="s">
        <v>223</v>
      </c>
      <c r="C288" s="6" t="s">
        <v>49</v>
      </c>
      <c r="D288" s="6" t="s">
        <v>282</v>
      </c>
      <c r="E288" s="6" t="s">
        <v>266</v>
      </c>
      <c r="F288" s="6">
        <v>3</v>
      </c>
      <c r="G288" s="6" t="s">
        <v>589</v>
      </c>
      <c r="H288" s="6" t="s">
        <v>268</v>
      </c>
    </row>
    <row r="289" spans="1:8" x14ac:dyDescent="0.3">
      <c r="A289" s="6" t="s">
        <v>596</v>
      </c>
      <c r="B289" s="6" t="s">
        <v>223</v>
      </c>
      <c r="C289" s="6" t="s">
        <v>50</v>
      </c>
      <c r="D289" s="6" t="s">
        <v>284</v>
      </c>
      <c r="E289" s="6" t="s">
        <v>266</v>
      </c>
      <c r="F289" s="6">
        <v>3</v>
      </c>
      <c r="G289" s="6" t="s">
        <v>589</v>
      </c>
      <c r="H289" s="6" t="s">
        <v>268</v>
      </c>
    </row>
    <row r="290" spans="1:8" x14ac:dyDescent="0.3">
      <c r="A290" s="6" t="s">
        <v>597</v>
      </c>
      <c r="B290" s="6" t="s">
        <v>223</v>
      </c>
      <c r="C290" s="6" t="s">
        <v>286</v>
      </c>
      <c r="D290" s="6" t="s">
        <v>287</v>
      </c>
      <c r="E290" s="6" t="s">
        <v>266</v>
      </c>
      <c r="F290" s="6">
        <v>3</v>
      </c>
      <c r="G290" s="6" t="s">
        <v>589</v>
      </c>
      <c r="H290" s="6" t="s">
        <v>268</v>
      </c>
    </row>
    <row r="291" spans="1:8" x14ac:dyDescent="0.3">
      <c r="A291" s="6" t="s">
        <v>598</v>
      </c>
      <c r="B291" s="6" t="s">
        <v>223</v>
      </c>
      <c r="C291" s="6" t="s">
        <v>289</v>
      </c>
      <c r="D291" s="6" t="s">
        <v>290</v>
      </c>
      <c r="E291" s="6" t="s">
        <v>266</v>
      </c>
      <c r="F291" s="6">
        <v>3</v>
      </c>
      <c r="G291" s="6" t="s">
        <v>589</v>
      </c>
      <c r="H291" s="6" t="s">
        <v>268</v>
      </c>
    </row>
    <row r="292" spans="1:8" x14ac:dyDescent="0.3">
      <c r="A292" s="6" t="s">
        <v>599</v>
      </c>
      <c r="B292" s="6" t="s">
        <v>227</v>
      </c>
      <c r="C292" s="6" t="s">
        <v>264</v>
      </c>
      <c r="D292" s="6" t="s">
        <v>265</v>
      </c>
      <c r="E292" s="6" t="s">
        <v>266</v>
      </c>
      <c r="F292" s="6">
        <v>3</v>
      </c>
      <c r="G292" s="6" t="s">
        <v>600</v>
      </c>
      <c r="H292" s="6" t="s">
        <v>268</v>
      </c>
    </row>
    <row r="293" spans="1:8" x14ac:dyDescent="0.3">
      <c r="A293" s="6" t="s">
        <v>601</v>
      </c>
      <c r="B293" s="6" t="s">
        <v>227</v>
      </c>
      <c r="C293" s="6" t="s">
        <v>43</v>
      </c>
      <c r="D293" s="6" t="s">
        <v>270</v>
      </c>
      <c r="E293" s="6" t="s">
        <v>266</v>
      </c>
      <c r="F293" s="6">
        <v>3</v>
      </c>
      <c r="G293" s="6" t="s">
        <v>600</v>
      </c>
      <c r="H293" s="6" t="s">
        <v>268</v>
      </c>
    </row>
    <row r="294" spans="1:8" x14ac:dyDescent="0.3">
      <c r="A294" s="6" t="s">
        <v>602</v>
      </c>
      <c r="B294" s="6" t="s">
        <v>227</v>
      </c>
      <c r="C294" s="6" t="s">
        <v>272</v>
      </c>
      <c r="D294" s="6" t="s">
        <v>273</v>
      </c>
      <c r="E294" s="6" t="s">
        <v>266</v>
      </c>
      <c r="F294" s="6">
        <v>3</v>
      </c>
      <c r="G294" s="6" t="s">
        <v>600</v>
      </c>
      <c r="H294" s="6" t="s">
        <v>268</v>
      </c>
    </row>
    <row r="295" spans="1:8" x14ac:dyDescent="0.3">
      <c r="A295" s="6" t="s">
        <v>603</v>
      </c>
      <c r="B295" s="6" t="s">
        <v>227</v>
      </c>
      <c r="C295" s="6" t="s">
        <v>46</v>
      </c>
      <c r="D295" s="6" t="s">
        <v>275</v>
      </c>
      <c r="E295" s="6" t="s">
        <v>266</v>
      </c>
      <c r="F295" s="6">
        <v>3</v>
      </c>
      <c r="G295" s="6" t="s">
        <v>600</v>
      </c>
      <c r="H295" s="6" t="s">
        <v>268</v>
      </c>
    </row>
    <row r="296" spans="1:8" x14ac:dyDescent="0.3">
      <c r="A296" s="6" t="s">
        <v>604</v>
      </c>
      <c r="B296" s="6" t="s">
        <v>227</v>
      </c>
      <c r="C296" s="6" t="s">
        <v>277</v>
      </c>
      <c r="D296" s="6" t="s">
        <v>278</v>
      </c>
      <c r="E296" s="6" t="s">
        <v>266</v>
      </c>
      <c r="F296" s="6">
        <v>3</v>
      </c>
      <c r="G296" s="6" t="s">
        <v>600</v>
      </c>
      <c r="H296" s="6" t="s">
        <v>268</v>
      </c>
    </row>
    <row r="297" spans="1:8" x14ac:dyDescent="0.3">
      <c r="A297" s="6" t="s">
        <v>605</v>
      </c>
      <c r="B297" s="6" t="s">
        <v>227</v>
      </c>
      <c r="C297" s="6" t="s">
        <v>48</v>
      </c>
      <c r="D297" s="6" t="s">
        <v>280</v>
      </c>
      <c r="E297" s="6" t="s">
        <v>266</v>
      </c>
      <c r="F297" s="6">
        <v>3</v>
      </c>
      <c r="G297" s="6" t="s">
        <v>600</v>
      </c>
      <c r="H297" s="6" t="s">
        <v>268</v>
      </c>
    </row>
    <row r="298" spans="1:8" x14ac:dyDescent="0.3">
      <c r="A298" s="6" t="s">
        <v>606</v>
      </c>
      <c r="B298" s="6" t="s">
        <v>227</v>
      </c>
      <c r="C298" s="6" t="s">
        <v>49</v>
      </c>
      <c r="D298" s="6" t="s">
        <v>282</v>
      </c>
      <c r="E298" s="6" t="s">
        <v>266</v>
      </c>
      <c r="F298" s="6">
        <v>3</v>
      </c>
      <c r="G298" s="6" t="s">
        <v>600</v>
      </c>
      <c r="H298" s="6" t="s">
        <v>268</v>
      </c>
    </row>
    <row r="299" spans="1:8" x14ac:dyDescent="0.3">
      <c r="A299" s="6" t="s">
        <v>607</v>
      </c>
      <c r="B299" s="6" t="s">
        <v>227</v>
      </c>
      <c r="C299" s="6" t="s">
        <v>50</v>
      </c>
      <c r="D299" s="6" t="s">
        <v>284</v>
      </c>
      <c r="E299" s="6" t="s">
        <v>266</v>
      </c>
      <c r="F299" s="6">
        <v>3</v>
      </c>
      <c r="G299" s="6" t="s">
        <v>600</v>
      </c>
      <c r="H299" s="6" t="s">
        <v>268</v>
      </c>
    </row>
    <row r="300" spans="1:8" x14ac:dyDescent="0.3">
      <c r="A300" s="6" t="s">
        <v>608</v>
      </c>
      <c r="B300" s="6" t="s">
        <v>227</v>
      </c>
      <c r="C300" s="6" t="s">
        <v>286</v>
      </c>
      <c r="D300" s="6" t="s">
        <v>287</v>
      </c>
      <c r="E300" s="6" t="s">
        <v>266</v>
      </c>
      <c r="F300" s="6">
        <v>3</v>
      </c>
      <c r="G300" s="6" t="s">
        <v>600</v>
      </c>
      <c r="H300" s="6" t="s">
        <v>268</v>
      </c>
    </row>
    <row r="301" spans="1:8" x14ac:dyDescent="0.3">
      <c r="A301" s="6" t="s">
        <v>609</v>
      </c>
      <c r="B301" s="6" t="s">
        <v>227</v>
      </c>
      <c r="C301" s="6" t="s">
        <v>289</v>
      </c>
      <c r="D301" s="6" t="s">
        <v>290</v>
      </c>
      <c r="E301" s="6" t="s">
        <v>266</v>
      </c>
      <c r="F301" s="6">
        <v>3</v>
      </c>
      <c r="G301" s="6" t="s">
        <v>600</v>
      </c>
      <c r="H301" s="6" t="s">
        <v>268</v>
      </c>
    </row>
  </sheetData>
  <dataValidations count="2">
    <dataValidation type="list" allowBlank="1" sqref="E2:E301" xr:uid="{00000000-0002-0000-0400-000000000000}">
      <formula1>"Low,Medium,High,Yes,No,Pending"</formula1>
    </dataValidation>
    <dataValidation type="list" allowBlank="1" sqref="F2:F301" xr:uid="{00000000-0002-0000-0400-000001000000}">
      <formula1>"1,2,3,4,5"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O31"/>
  <sheetViews>
    <sheetView showGridLines="0" workbookViewId="0">
      <pane ySplit="1" topLeftCell="A2" activePane="bottomLeft" state="frozen"/>
      <selection pane="bottomLeft" activeCell="F17" sqref="A2:O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18" customWidth="1"/>
    <col min="6" max="6" width="20" customWidth="1"/>
    <col min="7" max="7" width="70" customWidth="1"/>
    <col min="8" max="8" width="24" customWidth="1"/>
    <col min="9" max="9" width="16" customWidth="1"/>
    <col min="10" max="10" width="18" customWidth="1"/>
    <col min="11" max="12" width="45" customWidth="1"/>
    <col min="13" max="13" width="20" customWidth="1"/>
    <col min="14" max="14" width="16" customWidth="1"/>
    <col min="15" max="15" width="50" customWidth="1"/>
  </cols>
  <sheetData>
    <row r="1" spans="1:15" ht="46.05" customHeight="1" x14ac:dyDescent="0.3">
      <c r="A1" s="1" t="s">
        <v>610</v>
      </c>
      <c r="B1" s="1" t="s">
        <v>35</v>
      </c>
      <c r="C1" s="1" t="s">
        <v>36</v>
      </c>
      <c r="D1" s="1" t="s">
        <v>37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12</v>
      </c>
      <c r="K1" s="1" t="s">
        <v>616</v>
      </c>
      <c r="L1" s="1" t="s">
        <v>68</v>
      </c>
      <c r="M1" s="1" t="s">
        <v>617</v>
      </c>
      <c r="N1" s="1" t="s">
        <v>618</v>
      </c>
      <c r="O1" s="1" t="s">
        <v>71</v>
      </c>
    </row>
    <row r="2" spans="1:15" x14ac:dyDescent="0.3">
      <c r="A2" s="6" t="s">
        <v>619</v>
      </c>
      <c r="B2" s="6" t="s">
        <v>72</v>
      </c>
      <c r="C2" s="6" t="s">
        <v>73</v>
      </c>
      <c r="D2" s="6" t="s">
        <v>74</v>
      </c>
      <c r="E2" s="6" t="s">
        <v>80</v>
      </c>
      <c r="F2" s="6" t="s">
        <v>88</v>
      </c>
      <c r="G2" s="6" t="s">
        <v>620</v>
      </c>
      <c r="H2" s="6" t="s">
        <v>40</v>
      </c>
      <c r="I2" s="6" t="s">
        <v>621</v>
      </c>
      <c r="J2" s="6" t="s">
        <v>622</v>
      </c>
      <c r="K2" s="6" t="s">
        <v>623</v>
      </c>
      <c r="L2" s="6"/>
      <c r="M2" s="6" t="s">
        <v>266</v>
      </c>
      <c r="N2" s="6"/>
      <c r="O2" s="6" t="s">
        <v>624</v>
      </c>
    </row>
    <row r="3" spans="1:15" x14ac:dyDescent="0.3">
      <c r="A3" s="6" t="s">
        <v>625</v>
      </c>
      <c r="B3" s="6" t="s">
        <v>97</v>
      </c>
      <c r="C3" s="6" t="s">
        <v>98</v>
      </c>
      <c r="D3" s="6" t="s">
        <v>99</v>
      </c>
      <c r="E3" s="6" t="s">
        <v>80</v>
      </c>
      <c r="F3" s="6" t="s">
        <v>88</v>
      </c>
      <c r="G3" s="6" t="s">
        <v>620</v>
      </c>
      <c r="H3" s="6" t="s">
        <v>40</v>
      </c>
      <c r="I3" s="6" t="s">
        <v>621</v>
      </c>
      <c r="J3" s="6" t="s">
        <v>622</v>
      </c>
      <c r="K3" s="6" t="s">
        <v>623</v>
      </c>
      <c r="L3" s="6"/>
      <c r="M3" s="6" t="s">
        <v>266</v>
      </c>
      <c r="N3" s="6"/>
      <c r="O3" s="6" t="s">
        <v>624</v>
      </c>
    </row>
    <row r="4" spans="1:15" x14ac:dyDescent="0.3">
      <c r="A4" s="6" t="s">
        <v>626</v>
      </c>
      <c r="B4" s="6" t="s">
        <v>103</v>
      </c>
      <c r="C4" s="6" t="s">
        <v>104</v>
      </c>
      <c r="D4" s="6" t="s">
        <v>105</v>
      </c>
      <c r="E4" s="6" t="s">
        <v>87</v>
      </c>
      <c r="F4" s="6" t="s">
        <v>88</v>
      </c>
      <c r="G4" s="6" t="s">
        <v>620</v>
      </c>
      <c r="H4" s="6" t="s">
        <v>40</v>
      </c>
      <c r="I4" s="6" t="s">
        <v>621</v>
      </c>
      <c r="J4" s="6" t="s">
        <v>622</v>
      </c>
      <c r="K4" s="6" t="s">
        <v>623</v>
      </c>
      <c r="L4" s="6"/>
      <c r="M4" s="6" t="s">
        <v>266</v>
      </c>
      <c r="N4" s="6"/>
      <c r="O4" s="6" t="s">
        <v>624</v>
      </c>
    </row>
    <row r="5" spans="1:15" x14ac:dyDescent="0.3">
      <c r="A5" s="6" t="s">
        <v>627</v>
      </c>
      <c r="B5" s="6" t="s">
        <v>109</v>
      </c>
      <c r="C5" s="6" t="s">
        <v>110</v>
      </c>
      <c r="D5" s="6" t="s">
        <v>111</v>
      </c>
      <c r="E5" s="6" t="s">
        <v>87</v>
      </c>
      <c r="F5" s="6" t="s">
        <v>88</v>
      </c>
      <c r="G5" s="6" t="s">
        <v>620</v>
      </c>
      <c r="H5" s="6" t="s">
        <v>40</v>
      </c>
      <c r="I5" s="6" t="s">
        <v>621</v>
      </c>
      <c r="J5" s="6" t="s">
        <v>622</v>
      </c>
      <c r="K5" s="6" t="s">
        <v>623</v>
      </c>
      <c r="L5" s="6"/>
      <c r="M5" s="6" t="s">
        <v>266</v>
      </c>
      <c r="N5" s="6"/>
      <c r="O5" s="6" t="s">
        <v>624</v>
      </c>
    </row>
    <row r="6" spans="1:15" x14ac:dyDescent="0.3">
      <c r="A6" s="6" t="s">
        <v>628</v>
      </c>
      <c r="B6" s="6" t="s">
        <v>114</v>
      </c>
      <c r="C6" s="6" t="s">
        <v>115</v>
      </c>
      <c r="D6" s="6" t="s">
        <v>116</v>
      </c>
      <c r="E6" s="6" t="s">
        <v>87</v>
      </c>
      <c r="F6" s="6" t="s">
        <v>88</v>
      </c>
      <c r="G6" s="6" t="s">
        <v>620</v>
      </c>
      <c r="H6" s="6" t="s">
        <v>40</v>
      </c>
      <c r="I6" s="6" t="s">
        <v>621</v>
      </c>
      <c r="J6" s="6" t="s">
        <v>622</v>
      </c>
      <c r="K6" s="6" t="s">
        <v>623</v>
      </c>
      <c r="L6" s="6"/>
      <c r="M6" s="6" t="s">
        <v>266</v>
      </c>
      <c r="N6" s="6"/>
      <c r="O6" s="6" t="s">
        <v>624</v>
      </c>
    </row>
    <row r="7" spans="1:15" x14ac:dyDescent="0.3">
      <c r="A7" s="6" t="s">
        <v>629</v>
      </c>
      <c r="B7" s="6" t="s">
        <v>120</v>
      </c>
      <c r="C7" s="6" t="s">
        <v>121</v>
      </c>
      <c r="D7" s="6" t="s">
        <v>122</v>
      </c>
      <c r="E7" s="6" t="s">
        <v>80</v>
      </c>
      <c r="F7" s="6" t="s">
        <v>88</v>
      </c>
      <c r="G7" s="6" t="s">
        <v>620</v>
      </c>
      <c r="H7" s="6" t="s">
        <v>40</v>
      </c>
      <c r="I7" s="6" t="s">
        <v>621</v>
      </c>
      <c r="J7" s="6" t="s">
        <v>622</v>
      </c>
      <c r="K7" s="6" t="s">
        <v>623</v>
      </c>
      <c r="L7" s="6"/>
      <c r="M7" s="6" t="s">
        <v>266</v>
      </c>
      <c r="N7" s="6"/>
      <c r="O7" s="6" t="s">
        <v>624</v>
      </c>
    </row>
    <row r="8" spans="1:15" x14ac:dyDescent="0.3">
      <c r="A8" s="6" t="s">
        <v>630</v>
      </c>
      <c r="B8" s="6" t="s">
        <v>126</v>
      </c>
      <c r="C8" s="6" t="s">
        <v>127</v>
      </c>
      <c r="D8" s="6" t="s">
        <v>128</v>
      </c>
      <c r="E8" s="6" t="s">
        <v>87</v>
      </c>
      <c r="F8" s="6" t="s">
        <v>88</v>
      </c>
      <c r="G8" s="6" t="s">
        <v>620</v>
      </c>
      <c r="H8" s="6" t="s">
        <v>40</v>
      </c>
      <c r="I8" s="6" t="s">
        <v>621</v>
      </c>
      <c r="J8" s="6" t="s">
        <v>622</v>
      </c>
      <c r="K8" s="6" t="s">
        <v>623</v>
      </c>
      <c r="L8" s="6"/>
      <c r="M8" s="6" t="s">
        <v>266</v>
      </c>
      <c r="N8" s="6"/>
      <c r="O8" s="6" t="s">
        <v>624</v>
      </c>
    </row>
    <row r="9" spans="1:15" x14ac:dyDescent="0.3">
      <c r="A9" s="6" t="s">
        <v>631</v>
      </c>
      <c r="B9" s="6" t="s">
        <v>133</v>
      </c>
      <c r="C9" s="6" t="s">
        <v>134</v>
      </c>
      <c r="D9" s="6" t="s">
        <v>135</v>
      </c>
      <c r="E9" s="6" t="s">
        <v>87</v>
      </c>
      <c r="F9" s="6" t="s">
        <v>88</v>
      </c>
      <c r="G9" s="6" t="s">
        <v>620</v>
      </c>
      <c r="H9" s="6" t="s">
        <v>40</v>
      </c>
      <c r="I9" s="6" t="s">
        <v>621</v>
      </c>
      <c r="J9" s="6" t="s">
        <v>622</v>
      </c>
      <c r="K9" s="6" t="s">
        <v>623</v>
      </c>
      <c r="L9" s="6"/>
      <c r="M9" s="6" t="s">
        <v>266</v>
      </c>
      <c r="N9" s="6"/>
      <c r="O9" s="6" t="s">
        <v>624</v>
      </c>
    </row>
    <row r="10" spans="1:15" x14ac:dyDescent="0.3">
      <c r="A10" s="6" t="s">
        <v>632</v>
      </c>
      <c r="B10" s="6" t="s">
        <v>138</v>
      </c>
      <c r="C10" s="6" t="s">
        <v>139</v>
      </c>
      <c r="D10" s="6" t="s">
        <v>140</v>
      </c>
      <c r="E10" s="6" t="s">
        <v>87</v>
      </c>
      <c r="F10" s="6" t="s">
        <v>88</v>
      </c>
      <c r="G10" s="6" t="s">
        <v>620</v>
      </c>
      <c r="H10" s="6" t="s">
        <v>40</v>
      </c>
      <c r="I10" s="6" t="s">
        <v>621</v>
      </c>
      <c r="J10" s="6" t="s">
        <v>622</v>
      </c>
      <c r="K10" s="6" t="s">
        <v>623</v>
      </c>
      <c r="L10" s="6"/>
      <c r="M10" s="6" t="s">
        <v>266</v>
      </c>
      <c r="N10" s="6"/>
      <c r="O10" s="6" t="s">
        <v>624</v>
      </c>
    </row>
    <row r="11" spans="1:15" x14ac:dyDescent="0.3">
      <c r="A11" s="6" t="s">
        <v>633</v>
      </c>
      <c r="B11" s="6" t="s">
        <v>144</v>
      </c>
      <c r="C11" s="6" t="s">
        <v>145</v>
      </c>
      <c r="D11" s="6" t="s">
        <v>146</v>
      </c>
      <c r="E11" s="6" t="s">
        <v>87</v>
      </c>
      <c r="F11" s="6" t="s">
        <v>88</v>
      </c>
      <c r="G11" s="6" t="s">
        <v>620</v>
      </c>
      <c r="H11" s="6" t="s">
        <v>40</v>
      </c>
      <c r="I11" s="6" t="s">
        <v>621</v>
      </c>
      <c r="J11" s="6" t="s">
        <v>622</v>
      </c>
      <c r="K11" s="6" t="s">
        <v>623</v>
      </c>
      <c r="L11" s="6"/>
      <c r="M11" s="6" t="s">
        <v>266</v>
      </c>
      <c r="N11" s="6"/>
      <c r="O11" s="6" t="s">
        <v>624</v>
      </c>
    </row>
    <row r="12" spans="1:15" x14ac:dyDescent="0.3">
      <c r="A12" s="6" t="s">
        <v>634</v>
      </c>
      <c r="B12" s="6" t="s">
        <v>150</v>
      </c>
      <c r="C12" s="6" t="s">
        <v>151</v>
      </c>
      <c r="D12" s="6" t="s">
        <v>152</v>
      </c>
      <c r="E12" s="6" t="s">
        <v>80</v>
      </c>
      <c r="F12" s="6" t="s">
        <v>88</v>
      </c>
      <c r="G12" s="6" t="s">
        <v>620</v>
      </c>
      <c r="H12" s="6" t="s">
        <v>40</v>
      </c>
      <c r="I12" s="6" t="s">
        <v>621</v>
      </c>
      <c r="J12" s="6" t="s">
        <v>622</v>
      </c>
      <c r="K12" s="6" t="s">
        <v>623</v>
      </c>
      <c r="L12" s="6"/>
      <c r="M12" s="6" t="s">
        <v>266</v>
      </c>
      <c r="N12" s="6"/>
      <c r="O12" s="6" t="s">
        <v>624</v>
      </c>
    </row>
    <row r="13" spans="1:15" x14ac:dyDescent="0.3">
      <c r="A13" s="6" t="s">
        <v>635</v>
      </c>
      <c r="B13" s="6" t="s">
        <v>155</v>
      </c>
      <c r="C13" s="6" t="s">
        <v>156</v>
      </c>
      <c r="D13" s="6" t="s">
        <v>157</v>
      </c>
      <c r="E13" s="6" t="s">
        <v>87</v>
      </c>
      <c r="F13" s="6" t="s">
        <v>88</v>
      </c>
      <c r="G13" s="6" t="s">
        <v>620</v>
      </c>
      <c r="H13" s="6" t="s">
        <v>40</v>
      </c>
      <c r="I13" s="6" t="s">
        <v>621</v>
      </c>
      <c r="J13" s="6" t="s">
        <v>622</v>
      </c>
      <c r="K13" s="6" t="s">
        <v>623</v>
      </c>
      <c r="L13" s="6"/>
      <c r="M13" s="6" t="s">
        <v>266</v>
      </c>
      <c r="N13" s="6"/>
      <c r="O13" s="6" t="s">
        <v>624</v>
      </c>
    </row>
    <row r="14" spans="1:15" x14ac:dyDescent="0.3">
      <c r="A14" s="6" t="s">
        <v>636</v>
      </c>
      <c r="B14" s="6" t="s">
        <v>159</v>
      </c>
      <c r="C14" s="6" t="s">
        <v>160</v>
      </c>
      <c r="D14" s="6" t="s">
        <v>161</v>
      </c>
      <c r="E14" s="6" t="s">
        <v>80</v>
      </c>
      <c r="F14" s="6" t="s">
        <v>88</v>
      </c>
      <c r="G14" s="6" t="s">
        <v>620</v>
      </c>
      <c r="H14" s="6" t="s">
        <v>40</v>
      </c>
      <c r="I14" s="6" t="s">
        <v>621</v>
      </c>
      <c r="J14" s="6" t="s">
        <v>622</v>
      </c>
      <c r="K14" s="6" t="s">
        <v>623</v>
      </c>
      <c r="L14" s="6"/>
      <c r="M14" s="6" t="s">
        <v>266</v>
      </c>
      <c r="N14" s="6"/>
      <c r="O14" s="6" t="s">
        <v>624</v>
      </c>
    </row>
    <row r="15" spans="1:15" x14ac:dyDescent="0.3">
      <c r="A15" s="6" t="s">
        <v>637</v>
      </c>
      <c r="B15" s="6" t="s">
        <v>163</v>
      </c>
      <c r="C15" s="6" t="s">
        <v>164</v>
      </c>
      <c r="D15" s="6" t="s">
        <v>165</v>
      </c>
      <c r="E15" s="6" t="s">
        <v>87</v>
      </c>
      <c r="F15" s="6" t="s">
        <v>88</v>
      </c>
      <c r="G15" s="6" t="s">
        <v>620</v>
      </c>
      <c r="H15" s="6" t="s">
        <v>40</v>
      </c>
      <c r="I15" s="6" t="s">
        <v>621</v>
      </c>
      <c r="J15" s="6" t="s">
        <v>622</v>
      </c>
      <c r="K15" s="6" t="s">
        <v>623</v>
      </c>
      <c r="L15" s="6"/>
      <c r="M15" s="6" t="s">
        <v>266</v>
      </c>
      <c r="N15" s="6"/>
      <c r="O15" s="6" t="s">
        <v>624</v>
      </c>
    </row>
    <row r="16" spans="1:15" x14ac:dyDescent="0.3">
      <c r="A16" s="6" t="s">
        <v>638</v>
      </c>
      <c r="B16" s="6" t="s">
        <v>167</v>
      </c>
      <c r="C16" s="6" t="s">
        <v>168</v>
      </c>
      <c r="D16" s="6" t="s">
        <v>169</v>
      </c>
      <c r="E16" s="6" t="s">
        <v>87</v>
      </c>
      <c r="F16" s="6" t="s">
        <v>88</v>
      </c>
      <c r="G16" s="6" t="s">
        <v>620</v>
      </c>
      <c r="H16" s="6" t="s">
        <v>40</v>
      </c>
      <c r="I16" s="6" t="s">
        <v>621</v>
      </c>
      <c r="J16" s="6" t="s">
        <v>622</v>
      </c>
      <c r="K16" s="6" t="s">
        <v>623</v>
      </c>
      <c r="L16" s="6"/>
      <c r="M16" s="6" t="s">
        <v>266</v>
      </c>
      <c r="N16" s="6"/>
      <c r="O16" s="6" t="s">
        <v>624</v>
      </c>
    </row>
    <row r="17" spans="1:15" x14ac:dyDescent="0.3">
      <c r="A17" s="6" t="s">
        <v>639</v>
      </c>
      <c r="B17" s="6" t="s">
        <v>171</v>
      </c>
      <c r="C17" s="6" t="s">
        <v>172</v>
      </c>
      <c r="D17" s="6" t="s">
        <v>173</v>
      </c>
      <c r="E17" s="6" t="s">
        <v>87</v>
      </c>
      <c r="F17" s="6" t="s">
        <v>88</v>
      </c>
      <c r="G17" s="6" t="s">
        <v>620</v>
      </c>
      <c r="H17" s="6" t="s">
        <v>40</v>
      </c>
      <c r="I17" s="6" t="s">
        <v>621</v>
      </c>
      <c r="J17" s="6" t="s">
        <v>622</v>
      </c>
      <c r="K17" s="6" t="s">
        <v>623</v>
      </c>
      <c r="L17" s="6"/>
      <c r="M17" s="6" t="s">
        <v>266</v>
      </c>
      <c r="N17" s="6"/>
      <c r="O17" s="6" t="s">
        <v>624</v>
      </c>
    </row>
    <row r="18" spans="1:15" x14ac:dyDescent="0.3">
      <c r="A18" s="6" t="s">
        <v>640</v>
      </c>
      <c r="B18" s="6" t="s">
        <v>175</v>
      </c>
      <c r="C18" s="6" t="s">
        <v>176</v>
      </c>
      <c r="D18" s="6" t="s">
        <v>177</v>
      </c>
      <c r="E18" s="6" t="s">
        <v>80</v>
      </c>
      <c r="F18" s="6" t="s">
        <v>88</v>
      </c>
      <c r="G18" s="6" t="s">
        <v>620</v>
      </c>
      <c r="H18" s="6" t="s">
        <v>40</v>
      </c>
      <c r="I18" s="6" t="s">
        <v>621</v>
      </c>
      <c r="J18" s="6" t="s">
        <v>622</v>
      </c>
      <c r="K18" s="6" t="s">
        <v>623</v>
      </c>
      <c r="L18" s="6"/>
      <c r="M18" s="6" t="s">
        <v>266</v>
      </c>
      <c r="N18" s="6"/>
      <c r="O18" s="6" t="s">
        <v>624</v>
      </c>
    </row>
    <row r="19" spans="1:15" x14ac:dyDescent="0.3">
      <c r="A19" s="6" t="s">
        <v>641</v>
      </c>
      <c r="B19" s="6" t="s">
        <v>179</v>
      </c>
      <c r="C19" s="6" t="s">
        <v>180</v>
      </c>
      <c r="D19" s="6" t="s">
        <v>181</v>
      </c>
      <c r="E19" s="6" t="s">
        <v>87</v>
      </c>
      <c r="F19" s="6" t="s">
        <v>88</v>
      </c>
      <c r="G19" s="6" t="s">
        <v>620</v>
      </c>
      <c r="H19" s="6" t="s">
        <v>40</v>
      </c>
      <c r="I19" s="6" t="s">
        <v>621</v>
      </c>
      <c r="J19" s="6" t="s">
        <v>622</v>
      </c>
      <c r="K19" s="6" t="s">
        <v>623</v>
      </c>
      <c r="L19" s="6"/>
      <c r="M19" s="6" t="s">
        <v>266</v>
      </c>
      <c r="N19" s="6"/>
      <c r="O19" s="6" t="s">
        <v>624</v>
      </c>
    </row>
    <row r="20" spans="1:15" x14ac:dyDescent="0.3">
      <c r="A20" s="6" t="s">
        <v>642</v>
      </c>
      <c r="B20" s="6" t="s">
        <v>183</v>
      </c>
      <c r="C20" s="6" t="s">
        <v>184</v>
      </c>
      <c r="D20" s="6" t="s">
        <v>185</v>
      </c>
      <c r="E20" s="6" t="s">
        <v>80</v>
      </c>
      <c r="F20" s="6" t="s">
        <v>88</v>
      </c>
      <c r="G20" s="6" t="s">
        <v>620</v>
      </c>
      <c r="H20" s="6" t="s">
        <v>40</v>
      </c>
      <c r="I20" s="6" t="s">
        <v>621</v>
      </c>
      <c r="J20" s="6" t="s">
        <v>622</v>
      </c>
      <c r="K20" s="6" t="s">
        <v>623</v>
      </c>
      <c r="L20" s="6"/>
      <c r="M20" s="6" t="s">
        <v>266</v>
      </c>
      <c r="N20" s="6"/>
      <c r="O20" s="6" t="s">
        <v>624</v>
      </c>
    </row>
    <row r="21" spans="1:15" x14ac:dyDescent="0.3">
      <c r="A21" s="6" t="s">
        <v>643</v>
      </c>
      <c r="B21" s="6" t="s">
        <v>187</v>
      </c>
      <c r="C21" s="6" t="s">
        <v>188</v>
      </c>
      <c r="D21" s="6" t="s">
        <v>189</v>
      </c>
      <c r="E21" s="6" t="s">
        <v>87</v>
      </c>
      <c r="F21" s="6" t="s">
        <v>88</v>
      </c>
      <c r="G21" s="6" t="s">
        <v>620</v>
      </c>
      <c r="H21" s="6" t="s">
        <v>40</v>
      </c>
      <c r="I21" s="6" t="s">
        <v>621</v>
      </c>
      <c r="J21" s="6" t="s">
        <v>622</v>
      </c>
      <c r="K21" s="6" t="s">
        <v>623</v>
      </c>
      <c r="L21" s="6"/>
      <c r="M21" s="6" t="s">
        <v>266</v>
      </c>
      <c r="N21" s="6"/>
      <c r="O21" s="6" t="s">
        <v>624</v>
      </c>
    </row>
    <row r="22" spans="1:15" x14ac:dyDescent="0.3">
      <c r="A22" s="6" t="s">
        <v>644</v>
      </c>
      <c r="B22" s="6" t="s">
        <v>191</v>
      </c>
      <c r="C22" s="6" t="s">
        <v>192</v>
      </c>
      <c r="D22" s="6" t="s">
        <v>193</v>
      </c>
      <c r="E22" s="6" t="s">
        <v>87</v>
      </c>
      <c r="F22" s="6" t="s">
        <v>88</v>
      </c>
      <c r="G22" s="6" t="s">
        <v>620</v>
      </c>
      <c r="H22" s="6" t="s">
        <v>40</v>
      </c>
      <c r="I22" s="6" t="s">
        <v>621</v>
      </c>
      <c r="J22" s="6" t="s">
        <v>622</v>
      </c>
      <c r="K22" s="6" t="s">
        <v>623</v>
      </c>
      <c r="L22" s="6"/>
      <c r="M22" s="6" t="s">
        <v>266</v>
      </c>
      <c r="N22" s="6"/>
      <c r="O22" s="6" t="s">
        <v>624</v>
      </c>
    </row>
    <row r="23" spans="1:15" x14ac:dyDescent="0.3">
      <c r="A23" s="6" t="s">
        <v>645</v>
      </c>
      <c r="B23" s="6" t="s">
        <v>195</v>
      </c>
      <c r="C23" s="6" t="s">
        <v>196</v>
      </c>
      <c r="D23" s="6" t="s">
        <v>197</v>
      </c>
      <c r="E23" s="6" t="s">
        <v>87</v>
      </c>
      <c r="F23" s="6" t="s">
        <v>88</v>
      </c>
      <c r="G23" s="6" t="s">
        <v>620</v>
      </c>
      <c r="H23" s="6" t="s">
        <v>40</v>
      </c>
      <c r="I23" s="6" t="s">
        <v>621</v>
      </c>
      <c r="J23" s="6" t="s">
        <v>622</v>
      </c>
      <c r="K23" s="6" t="s">
        <v>623</v>
      </c>
      <c r="L23" s="6"/>
      <c r="M23" s="6" t="s">
        <v>266</v>
      </c>
      <c r="N23" s="6"/>
      <c r="O23" s="6" t="s">
        <v>624</v>
      </c>
    </row>
    <row r="24" spans="1:15" x14ac:dyDescent="0.3">
      <c r="A24" s="6" t="s">
        <v>646</v>
      </c>
      <c r="B24" s="6" t="s">
        <v>199</v>
      </c>
      <c r="C24" s="6" t="s">
        <v>200</v>
      </c>
      <c r="D24" s="6" t="s">
        <v>201</v>
      </c>
      <c r="E24" s="6" t="s">
        <v>80</v>
      </c>
      <c r="F24" s="6" t="s">
        <v>88</v>
      </c>
      <c r="G24" s="6" t="s">
        <v>620</v>
      </c>
      <c r="H24" s="6" t="s">
        <v>40</v>
      </c>
      <c r="I24" s="6" t="s">
        <v>621</v>
      </c>
      <c r="J24" s="6" t="s">
        <v>622</v>
      </c>
      <c r="K24" s="6" t="s">
        <v>623</v>
      </c>
      <c r="L24" s="6"/>
      <c r="M24" s="6" t="s">
        <v>266</v>
      </c>
      <c r="N24" s="6"/>
      <c r="O24" s="6" t="s">
        <v>624</v>
      </c>
    </row>
    <row r="25" spans="1:15" x14ac:dyDescent="0.3">
      <c r="A25" s="6" t="s">
        <v>647</v>
      </c>
      <c r="B25" s="6" t="s">
        <v>203</v>
      </c>
      <c r="C25" s="6" t="s">
        <v>204</v>
      </c>
      <c r="D25" s="6" t="s">
        <v>205</v>
      </c>
      <c r="E25" s="6" t="s">
        <v>87</v>
      </c>
      <c r="F25" s="6" t="s">
        <v>88</v>
      </c>
      <c r="G25" s="6" t="s">
        <v>620</v>
      </c>
      <c r="H25" s="6" t="s">
        <v>40</v>
      </c>
      <c r="I25" s="6" t="s">
        <v>621</v>
      </c>
      <c r="J25" s="6" t="s">
        <v>622</v>
      </c>
      <c r="K25" s="6" t="s">
        <v>623</v>
      </c>
      <c r="L25" s="6"/>
      <c r="M25" s="6" t="s">
        <v>266</v>
      </c>
      <c r="N25" s="6"/>
      <c r="O25" s="6" t="s">
        <v>624</v>
      </c>
    </row>
    <row r="26" spans="1:15" x14ac:dyDescent="0.3">
      <c r="A26" s="6" t="s">
        <v>648</v>
      </c>
      <c r="B26" s="6" t="s">
        <v>207</v>
      </c>
      <c r="C26" s="6" t="s">
        <v>208</v>
      </c>
      <c r="D26" s="6" t="s">
        <v>209</v>
      </c>
      <c r="E26" s="6" t="s">
        <v>80</v>
      </c>
      <c r="F26" s="6" t="s">
        <v>88</v>
      </c>
      <c r="G26" s="6" t="s">
        <v>620</v>
      </c>
      <c r="H26" s="6" t="s">
        <v>40</v>
      </c>
      <c r="I26" s="6" t="s">
        <v>621</v>
      </c>
      <c r="J26" s="6" t="s">
        <v>622</v>
      </c>
      <c r="K26" s="6" t="s">
        <v>623</v>
      </c>
      <c r="L26" s="6"/>
      <c r="M26" s="6" t="s">
        <v>266</v>
      </c>
      <c r="N26" s="6"/>
      <c r="O26" s="6" t="s">
        <v>624</v>
      </c>
    </row>
    <row r="27" spans="1:15" x14ac:dyDescent="0.3">
      <c r="A27" s="6" t="s">
        <v>649</v>
      </c>
      <c r="B27" s="6" t="s">
        <v>211</v>
      </c>
      <c r="C27" s="6" t="s">
        <v>212</v>
      </c>
      <c r="D27" s="6" t="s">
        <v>213</v>
      </c>
      <c r="E27" s="6" t="s">
        <v>87</v>
      </c>
      <c r="F27" s="6" t="s">
        <v>88</v>
      </c>
      <c r="G27" s="6" t="s">
        <v>620</v>
      </c>
      <c r="H27" s="6" t="s">
        <v>40</v>
      </c>
      <c r="I27" s="6" t="s">
        <v>621</v>
      </c>
      <c r="J27" s="6" t="s">
        <v>622</v>
      </c>
      <c r="K27" s="6" t="s">
        <v>623</v>
      </c>
      <c r="L27" s="6"/>
      <c r="M27" s="6" t="s">
        <v>266</v>
      </c>
      <c r="N27" s="6"/>
      <c r="O27" s="6" t="s">
        <v>624</v>
      </c>
    </row>
    <row r="28" spans="1:15" x14ac:dyDescent="0.3">
      <c r="A28" s="6" t="s">
        <v>650</v>
      </c>
      <c r="B28" s="6" t="s">
        <v>215</v>
      </c>
      <c r="C28" s="6" t="s">
        <v>216</v>
      </c>
      <c r="D28" s="6" t="s">
        <v>217</v>
      </c>
      <c r="E28" s="6" t="s">
        <v>87</v>
      </c>
      <c r="F28" s="6" t="s">
        <v>88</v>
      </c>
      <c r="G28" s="6" t="s">
        <v>620</v>
      </c>
      <c r="H28" s="6" t="s">
        <v>40</v>
      </c>
      <c r="I28" s="6" t="s">
        <v>621</v>
      </c>
      <c r="J28" s="6" t="s">
        <v>622</v>
      </c>
      <c r="K28" s="6" t="s">
        <v>623</v>
      </c>
      <c r="L28" s="6"/>
      <c r="M28" s="6" t="s">
        <v>266</v>
      </c>
      <c r="N28" s="6"/>
      <c r="O28" s="6" t="s">
        <v>624</v>
      </c>
    </row>
    <row r="29" spans="1:15" x14ac:dyDescent="0.3">
      <c r="A29" s="6" t="s">
        <v>651</v>
      </c>
      <c r="B29" s="6" t="s">
        <v>219</v>
      </c>
      <c r="C29" s="6" t="s">
        <v>220</v>
      </c>
      <c r="D29" s="6" t="s">
        <v>221</v>
      </c>
      <c r="E29" s="6" t="s">
        <v>87</v>
      </c>
      <c r="F29" s="6" t="s">
        <v>88</v>
      </c>
      <c r="G29" s="6" t="s">
        <v>620</v>
      </c>
      <c r="H29" s="6" t="s">
        <v>40</v>
      </c>
      <c r="I29" s="6" t="s">
        <v>621</v>
      </c>
      <c r="J29" s="6" t="s">
        <v>622</v>
      </c>
      <c r="K29" s="6" t="s">
        <v>623</v>
      </c>
      <c r="L29" s="6"/>
      <c r="M29" s="6" t="s">
        <v>266</v>
      </c>
      <c r="N29" s="6"/>
      <c r="O29" s="6" t="s">
        <v>624</v>
      </c>
    </row>
    <row r="30" spans="1:15" x14ac:dyDescent="0.3">
      <c r="A30" s="6" t="s">
        <v>652</v>
      </c>
      <c r="B30" s="6" t="s">
        <v>223</v>
      </c>
      <c r="C30" s="6" t="s">
        <v>224</v>
      </c>
      <c r="D30" s="6" t="s">
        <v>225</v>
      </c>
      <c r="E30" s="6" t="s">
        <v>80</v>
      </c>
      <c r="F30" s="6" t="s">
        <v>88</v>
      </c>
      <c r="G30" s="6" t="s">
        <v>620</v>
      </c>
      <c r="H30" s="6" t="s">
        <v>40</v>
      </c>
      <c r="I30" s="6" t="s">
        <v>621</v>
      </c>
      <c r="J30" s="6" t="s">
        <v>622</v>
      </c>
      <c r="K30" s="6" t="s">
        <v>623</v>
      </c>
      <c r="L30" s="6"/>
      <c r="M30" s="6" t="s">
        <v>266</v>
      </c>
      <c r="N30" s="6"/>
      <c r="O30" s="6" t="s">
        <v>624</v>
      </c>
    </row>
    <row r="31" spans="1:15" x14ac:dyDescent="0.3">
      <c r="A31" s="6" t="s">
        <v>653</v>
      </c>
      <c r="B31" s="6" t="s">
        <v>227</v>
      </c>
      <c r="C31" s="6" t="s">
        <v>228</v>
      </c>
      <c r="D31" s="6" t="s">
        <v>229</v>
      </c>
      <c r="E31" s="6" t="s">
        <v>87</v>
      </c>
      <c r="F31" s="6" t="s">
        <v>88</v>
      </c>
      <c r="G31" s="6" t="s">
        <v>620</v>
      </c>
      <c r="H31" s="6" t="s">
        <v>40</v>
      </c>
      <c r="I31" s="6" t="s">
        <v>621</v>
      </c>
      <c r="J31" s="6" t="s">
        <v>622</v>
      </c>
      <c r="K31" s="6" t="s">
        <v>623</v>
      </c>
      <c r="L31" s="6"/>
      <c r="M31" s="6" t="s">
        <v>266</v>
      </c>
      <c r="N31" s="6"/>
      <c r="O31" s="6" t="s">
        <v>624</v>
      </c>
    </row>
  </sheetData>
  <dataValidations count="4">
    <dataValidation type="list" allowBlank="1" sqref="E2:E31" xr:uid="{00000000-0002-0000-0500-000000000000}">
      <formula1>"Low,Medium,High,Critical"</formula1>
    </dataValidation>
    <dataValidation type="list" allowBlank="1" sqref="F2:F31" xr:uid="{00000000-0002-0000-0500-000001000000}">
      <formula1>"Mitigate,Transfer,Avoid,Accept"</formula1>
    </dataValidation>
    <dataValidation type="list" allowBlank="1" sqref="J2:J31" xr:uid="{00000000-0002-0000-0500-000002000000}">
      <formula1>"Open,In Progress,Blocked,Pending Validation,Closed"</formula1>
    </dataValidation>
    <dataValidation type="list" allowBlank="1" sqref="M2:M31" xr:uid="{00000000-0002-0000-0500-000003000000}">
      <formula1>"Pending,In Progress,Verified,Rejected,Not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9"/>
  <sheetViews>
    <sheetView workbookViewId="0">
      <selection activeCell="E1" sqref="E1"/>
    </sheetView>
  </sheetViews>
  <sheetFormatPr defaultRowHeight="14.4" x14ac:dyDescent="0.3"/>
  <cols>
    <col min="1" max="1" width="38" customWidth="1"/>
    <col min="2" max="2" width="24" customWidth="1"/>
    <col min="3" max="3" width="80" customWidth="1"/>
    <col min="5" max="5" width="17.77734375" bestFit="1" customWidth="1"/>
  </cols>
  <sheetData>
    <row r="1" spans="1:6" ht="46.05" customHeight="1" x14ac:dyDescent="0.3">
      <c r="A1" s="1" t="s">
        <v>654</v>
      </c>
      <c r="B1" s="1" t="s">
        <v>25</v>
      </c>
      <c r="C1" s="1" t="s">
        <v>655</v>
      </c>
      <c r="E1" s="7" t="s">
        <v>60</v>
      </c>
      <c r="F1" s="7" t="s">
        <v>656</v>
      </c>
    </row>
    <row r="2" spans="1:6" x14ac:dyDescent="0.3">
      <c r="A2" s="6" t="s">
        <v>657</v>
      </c>
      <c r="B2" s="6">
        <v>30</v>
      </c>
      <c r="C2" s="6" t="s">
        <v>658</v>
      </c>
      <c r="E2" s="6" t="s">
        <v>86</v>
      </c>
      <c r="F2" s="6">
        <f>COUNTIF('Risk Assessment Register'!Z:Z,E2)</f>
        <v>27</v>
      </c>
    </row>
    <row r="3" spans="1:6" x14ac:dyDescent="0.3">
      <c r="A3" s="6" t="s">
        <v>659</v>
      </c>
      <c r="B3" s="6">
        <f>COUNTIF('Risk Assessment Register'!H:H,"Critical")</f>
        <v>10</v>
      </c>
      <c r="C3" s="6" t="s">
        <v>660</v>
      </c>
      <c r="E3" s="6" t="s">
        <v>87</v>
      </c>
      <c r="F3" s="6">
        <f>COUNTIF('Risk Assessment Register'!Z:Z,E3)</f>
        <v>3</v>
      </c>
    </row>
    <row r="4" spans="1:6" x14ac:dyDescent="0.3">
      <c r="A4" s="6" t="s">
        <v>661</v>
      </c>
      <c r="B4" s="6">
        <f>COUNTIF('Risk Assessment Register'!Z:Z,"High")</f>
        <v>0</v>
      </c>
      <c r="C4" s="6" t="s">
        <v>662</v>
      </c>
      <c r="E4" s="6" t="s">
        <v>80</v>
      </c>
      <c r="F4" s="6">
        <f>COUNTIF('Risk Assessment Register'!Z:Z,E4)</f>
        <v>0</v>
      </c>
    </row>
    <row r="5" spans="1:6" x14ac:dyDescent="0.3">
      <c r="A5" s="6" t="s">
        <v>663</v>
      </c>
      <c r="B5" s="6">
        <f>COUNTIF('Risk Assessment Register'!Z:Z,"Critical")</f>
        <v>0</v>
      </c>
      <c r="C5" s="6" t="s">
        <v>664</v>
      </c>
      <c r="E5" s="6" t="s">
        <v>79</v>
      </c>
      <c r="F5" s="6">
        <f>COUNTIF('Risk Assessment Register'!Z:Z,E5)</f>
        <v>0</v>
      </c>
    </row>
    <row r="6" spans="1:6" x14ac:dyDescent="0.3">
      <c r="A6" s="6" t="s">
        <v>63</v>
      </c>
      <c r="B6" s="6">
        <f>COUNTIF('Risk Assessment Register'!AC:AC,"Yes")</f>
        <v>0</v>
      </c>
      <c r="C6" s="6" t="s">
        <v>665</v>
      </c>
    </row>
    <row r="7" spans="1:6" x14ac:dyDescent="0.3">
      <c r="A7" s="6" t="s">
        <v>666</v>
      </c>
      <c r="B7" s="6">
        <f>COUNTIF('Risk Treatment Tracker'!J:J,"Open")+COUNTIF('Risk Treatment Tracker'!J:J,"In Progress")</f>
        <v>30</v>
      </c>
      <c r="C7" s="6" t="s">
        <v>667</v>
      </c>
    </row>
    <row r="8" spans="1:6" x14ac:dyDescent="0.3">
      <c r="A8" s="6" t="s">
        <v>668</v>
      </c>
      <c r="B8" s="6">
        <f>COUNTIF('Risk Assessment Register'!AD:AD,"Reassessment Required")</f>
        <v>0</v>
      </c>
      <c r="C8" s="6" t="s">
        <v>669</v>
      </c>
    </row>
    <row r="9" spans="1:6" x14ac:dyDescent="0.3">
      <c r="A9" s="6" t="s">
        <v>670</v>
      </c>
      <c r="B9" s="6">
        <f>COUNTIF('Risk Assessment Register'!AD:AD,"Assessed")/COUNTA('Risk Assessment Register'!A:A)</f>
        <v>0.967741935483871</v>
      </c>
      <c r="C9" s="6" t="s">
        <v>671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B38"/>
  <sheetViews>
    <sheetView tabSelected="1" workbookViewId="0">
      <selection activeCell="G11" sqref="G11"/>
    </sheetView>
  </sheetViews>
  <sheetFormatPr defaultRowHeight="14.4" x14ac:dyDescent="0.3"/>
  <cols>
    <col min="1" max="1" width="38" customWidth="1"/>
    <col min="2" max="2" width="110" customWidth="1"/>
  </cols>
  <sheetData>
    <row r="1" spans="1:2" ht="46.05" customHeight="1" x14ac:dyDescent="0.3">
      <c r="A1" s="5" t="s">
        <v>24</v>
      </c>
      <c r="B1" s="5" t="s">
        <v>14</v>
      </c>
    </row>
    <row r="2" spans="1:2" x14ac:dyDescent="0.3">
      <c r="A2" s="4" t="s">
        <v>35</v>
      </c>
      <c r="B2" s="4" t="s">
        <v>672</v>
      </c>
    </row>
    <row r="3" spans="1:2" x14ac:dyDescent="0.3">
      <c r="A3" s="4" t="s">
        <v>36</v>
      </c>
      <c r="B3" s="4" t="s">
        <v>672</v>
      </c>
    </row>
    <row r="4" spans="1:2" x14ac:dyDescent="0.3">
      <c r="A4" s="4" t="s">
        <v>37</v>
      </c>
      <c r="B4" s="4" t="s">
        <v>672</v>
      </c>
    </row>
    <row r="5" spans="1:2" x14ac:dyDescent="0.3">
      <c r="A5" s="4" t="s">
        <v>38</v>
      </c>
      <c r="B5" s="4" t="s">
        <v>672</v>
      </c>
    </row>
    <row r="6" spans="1:2" x14ac:dyDescent="0.3">
      <c r="A6" s="4" t="s">
        <v>39</v>
      </c>
      <c r="B6" s="4" t="s">
        <v>672</v>
      </c>
    </row>
    <row r="7" spans="1:2" x14ac:dyDescent="0.3">
      <c r="A7" s="4" t="s">
        <v>40</v>
      </c>
      <c r="B7" s="4" t="s">
        <v>672</v>
      </c>
    </row>
    <row r="8" spans="1:2" x14ac:dyDescent="0.3">
      <c r="A8" s="4" t="s">
        <v>41</v>
      </c>
      <c r="B8" s="4" t="s">
        <v>672</v>
      </c>
    </row>
    <row r="9" spans="1:2" x14ac:dyDescent="0.3">
      <c r="A9" s="4" t="s">
        <v>42</v>
      </c>
      <c r="B9" s="4" t="s">
        <v>672</v>
      </c>
    </row>
    <row r="10" spans="1:2" x14ac:dyDescent="0.3">
      <c r="A10" s="4" t="s">
        <v>43</v>
      </c>
      <c r="B10" s="4" t="s">
        <v>672</v>
      </c>
    </row>
    <row r="11" spans="1:2" x14ac:dyDescent="0.3">
      <c r="A11" s="4" t="s">
        <v>44</v>
      </c>
      <c r="B11" s="4" t="s">
        <v>672</v>
      </c>
    </row>
    <row r="12" spans="1:2" x14ac:dyDescent="0.3">
      <c r="A12" s="4" t="s">
        <v>45</v>
      </c>
      <c r="B12" s="4" t="s">
        <v>672</v>
      </c>
    </row>
    <row r="13" spans="1:2" x14ac:dyDescent="0.3">
      <c r="A13" s="4" t="s">
        <v>46</v>
      </c>
      <c r="B13" s="4" t="s">
        <v>672</v>
      </c>
    </row>
    <row r="14" spans="1:2" x14ac:dyDescent="0.3">
      <c r="A14" s="4" t="s">
        <v>47</v>
      </c>
      <c r="B14" s="4" t="s">
        <v>672</v>
      </c>
    </row>
    <row r="15" spans="1:2" x14ac:dyDescent="0.3">
      <c r="A15" s="4" t="s">
        <v>48</v>
      </c>
      <c r="B15" s="4" t="s">
        <v>672</v>
      </c>
    </row>
    <row r="16" spans="1:2" x14ac:dyDescent="0.3">
      <c r="A16" s="4" t="s">
        <v>49</v>
      </c>
      <c r="B16" s="4" t="s">
        <v>672</v>
      </c>
    </row>
    <row r="17" spans="1:2" x14ac:dyDescent="0.3">
      <c r="A17" s="4" t="s">
        <v>50</v>
      </c>
      <c r="B17" s="4" t="s">
        <v>672</v>
      </c>
    </row>
    <row r="18" spans="1:2" x14ac:dyDescent="0.3">
      <c r="A18" s="4" t="s">
        <v>51</v>
      </c>
      <c r="B18" s="4" t="s">
        <v>672</v>
      </c>
    </row>
    <row r="19" spans="1:2" x14ac:dyDescent="0.3">
      <c r="A19" s="4" t="s">
        <v>52</v>
      </c>
      <c r="B19" s="4" t="s">
        <v>672</v>
      </c>
    </row>
    <row r="20" spans="1:2" x14ac:dyDescent="0.3">
      <c r="A20" s="4" t="s">
        <v>53</v>
      </c>
      <c r="B20" s="4" t="s">
        <v>672</v>
      </c>
    </row>
    <row r="21" spans="1:2" x14ac:dyDescent="0.3">
      <c r="A21" s="4" t="s">
        <v>54</v>
      </c>
      <c r="B21" s="4" t="s">
        <v>672</v>
      </c>
    </row>
    <row r="22" spans="1:2" x14ac:dyDescent="0.3">
      <c r="A22" s="4" t="s">
        <v>55</v>
      </c>
      <c r="B22" s="4" t="s">
        <v>672</v>
      </c>
    </row>
    <row r="23" spans="1:2" x14ac:dyDescent="0.3">
      <c r="A23" s="4" t="s">
        <v>56</v>
      </c>
      <c r="B23" s="4" t="s">
        <v>672</v>
      </c>
    </row>
    <row r="24" spans="1:2" x14ac:dyDescent="0.3">
      <c r="A24" s="4" t="s">
        <v>57</v>
      </c>
      <c r="B24" s="4" t="s">
        <v>672</v>
      </c>
    </row>
    <row r="25" spans="1:2" x14ac:dyDescent="0.3">
      <c r="A25" s="4" t="s">
        <v>58</v>
      </c>
      <c r="B25" s="4" t="s">
        <v>672</v>
      </c>
    </row>
    <row r="26" spans="1:2" x14ac:dyDescent="0.3">
      <c r="A26" s="4" t="s">
        <v>59</v>
      </c>
      <c r="B26" s="4" t="s">
        <v>672</v>
      </c>
    </row>
    <row r="27" spans="1:2" x14ac:dyDescent="0.3">
      <c r="A27" s="4" t="s">
        <v>60</v>
      </c>
      <c r="B27" s="4" t="s">
        <v>672</v>
      </c>
    </row>
    <row r="28" spans="1:2" x14ac:dyDescent="0.3">
      <c r="A28" s="4" t="s">
        <v>61</v>
      </c>
      <c r="B28" s="4" t="s">
        <v>672</v>
      </c>
    </row>
    <row r="29" spans="1:2" x14ac:dyDescent="0.3">
      <c r="A29" s="4" t="s">
        <v>62</v>
      </c>
      <c r="B29" s="4" t="s">
        <v>672</v>
      </c>
    </row>
    <row r="30" spans="1:2" x14ac:dyDescent="0.3">
      <c r="A30" s="4" t="s">
        <v>63</v>
      </c>
      <c r="B30" s="4" t="s">
        <v>672</v>
      </c>
    </row>
    <row r="31" spans="1:2" x14ac:dyDescent="0.3">
      <c r="A31" s="4" t="s">
        <v>64</v>
      </c>
      <c r="B31" s="4" t="s">
        <v>672</v>
      </c>
    </row>
    <row r="32" spans="1:2" x14ac:dyDescent="0.3">
      <c r="A32" s="4" t="s">
        <v>65</v>
      </c>
      <c r="B32" s="4" t="s">
        <v>672</v>
      </c>
    </row>
    <row r="33" spans="1:2" x14ac:dyDescent="0.3">
      <c r="A33" s="4" t="s">
        <v>66</v>
      </c>
      <c r="B33" s="4" t="s">
        <v>672</v>
      </c>
    </row>
    <row r="34" spans="1:2" x14ac:dyDescent="0.3">
      <c r="A34" s="4" t="s">
        <v>67</v>
      </c>
      <c r="B34" s="4" t="s">
        <v>672</v>
      </c>
    </row>
    <row r="35" spans="1:2" x14ac:dyDescent="0.3">
      <c r="A35" s="4" t="s">
        <v>68</v>
      </c>
      <c r="B35" s="4" t="s">
        <v>672</v>
      </c>
    </row>
    <row r="36" spans="1:2" x14ac:dyDescent="0.3">
      <c r="A36" s="4" t="s">
        <v>69</v>
      </c>
      <c r="B36" s="4" t="s">
        <v>672</v>
      </c>
    </row>
    <row r="37" spans="1:2" x14ac:dyDescent="0.3">
      <c r="A37" s="4" t="s">
        <v>70</v>
      </c>
      <c r="B37" s="4" t="s">
        <v>672</v>
      </c>
    </row>
    <row r="38" spans="1:2" x14ac:dyDescent="0.3">
      <c r="A38" s="4" t="s">
        <v>71</v>
      </c>
      <c r="B38" s="4" t="s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Document Control</vt:lpstr>
      <vt:lpstr>Risk Assessment Register</vt:lpstr>
      <vt:lpstr>Risk Scoring Methodology</vt:lpstr>
      <vt:lpstr>Risk Factor Assessment</vt:lpstr>
      <vt:lpstr>Risk Treatment Tracker</vt:lpstr>
      <vt:lpstr>Executive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2026-08-25T11:35:03Z</dcterms:created>
  <dcterms:modified xsi:type="dcterms:W3CDTF">2026-08-25T11:40:52Z</dcterms:modified>
</cp:coreProperties>
</file>