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E35F4038-453B-413A-89C2-3BF122C184CE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README" sheetId="1" r:id="rId1"/>
    <sheet name="Document Control" sheetId="2" r:id="rId2"/>
    <sheet name="Risk Acceptance Register" sheetId="3" r:id="rId3"/>
    <sheet name="Acceptance Approval Log" sheetId="4" r:id="rId4"/>
    <sheet name="Acceptance Review Log" sheetId="5" r:id="rId5"/>
    <sheet name="Acceptance Expiry Monitoring" sheetId="6" r:id="rId6"/>
    <sheet name="Executive Summary" sheetId="7" r:id="rId7"/>
    <sheet name="Acceptance Methodology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7" l="1"/>
  <c r="B10" i="7"/>
  <c r="B9" i="7"/>
  <c r="B8" i="7"/>
  <c r="B7" i="7"/>
  <c r="F5" i="7"/>
  <c r="F4" i="7"/>
  <c r="F3" i="7"/>
  <c r="F2" i="7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</calcChain>
</file>

<file path=xl/sharedStrings.xml><?xml version="1.0" encoding="utf-8"?>
<sst xmlns="http://schemas.openxmlformats.org/spreadsheetml/2006/main" count="2614" uniqueCount="434">
  <si>
    <t>TPRM-024 | VENDOR RISK ACCEPTANCE &amp; RESIDUAL RISK REGISTER</t>
  </si>
  <si>
    <t>Mayekar Technologies Pvt. Ltd.</t>
  </si>
  <si>
    <t>Document ID</t>
  </si>
  <si>
    <t>MTPL-TPRM-024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</si>
  <si>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</si>
  <si>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</si>
  <si>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</si>
  <si>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</si>
  <si>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</si>
  <si>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</si>
  <si>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</si>
  <si>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Formal register for documenting residual risk after vendor controls/treatment, risk acceptance rationale, accountable ownership, approval authority, conditions, review dates and expiry.</t>
  </si>
  <si>
    <t>Acceptance Principle</t>
  </si>
  <si>
    <t>Risk acceptance is a governance decision to retain residual risk within approved tolerance; it does not eliminate the risk or replace remediation where remediation remains required.</t>
  </si>
  <si>
    <t>Required Inputs</t>
  </si>
  <si>
    <t>Current risk assessment, treatment status, residual risk, exceptions/waivers, business impact, compensating controls and management risk appetite/tolerance.</t>
  </si>
  <si>
    <t>Review Principle</t>
  </si>
  <si>
    <t>Accepted risks must be periodically reviewed and reassessed when material changes, incidents, control failures or expiry conditions occur.</t>
  </si>
  <si>
    <t>Disclaimer</t>
  </si>
  <si>
    <t>All risk acceptance records, ratings, rationale, approvals and dates are simulated for portfolio/learning purposes.</t>
  </si>
  <si>
    <t>Field</t>
  </si>
  <si>
    <t>Value</t>
  </si>
  <si>
    <t>Document Title</t>
  </si>
  <si>
    <t>Vendor Risk Acceptance &amp; Residual Risk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</si>
  <si>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</si>
  <si>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</si>
  <si>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</si>
  <si>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</si>
  <si>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</si>
  <si>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</si>
  <si>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</si>
  <si>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</si>
  <si>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Quarterly / Event Driven / Before Expiry</t>
  </si>
  <si>
    <t>Classification</t>
  </si>
  <si>
    <t>Internal / Confidential</t>
  </si>
  <si>
    <t>Portfolio / Simulated</t>
  </si>
  <si>
    <t>Acceptance ID</t>
  </si>
  <si>
    <t>Vendor ID</t>
  </si>
  <si>
    <t>Vendor Name</t>
  </si>
  <si>
    <t>TPRM Tier</t>
  </si>
  <si>
    <t>Risk Source</t>
  </si>
  <si>
    <t>Risk ID</t>
  </si>
  <si>
    <t>Risk Description</t>
  </si>
  <si>
    <t>Inherent Likelihood</t>
  </si>
  <si>
    <t>Inherent Impact</t>
  </si>
  <si>
    <t>Inherent Score</t>
  </si>
  <si>
    <t>Inherent Rating</t>
  </si>
  <si>
    <t>Treatment Decision</t>
  </si>
  <si>
    <t>Treatment Status</t>
  </si>
  <si>
    <t>Residual Likelihood</t>
  </si>
  <si>
    <t>Residual Impact</t>
  </si>
  <si>
    <t>Residual Score</t>
  </si>
  <si>
    <t>Residual Rating</t>
  </si>
  <si>
    <t>Risk Tolerance Position</t>
  </si>
  <si>
    <t>Acceptance Required</t>
  </si>
  <si>
    <t>Business Justification</t>
  </si>
  <si>
    <t>Business Impact</t>
  </si>
  <si>
    <t>Security Impact</t>
  </si>
  <si>
    <t>Compensating Controls</t>
  </si>
  <si>
    <t>Risk Owner</t>
  </si>
  <si>
    <t>Acceptance Authority</t>
  </si>
  <si>
    <t>Request Date</t>
  </si>
  <si>
    <t>Acceptance Start Date</t>
  </si>
  <si>
    <t>Acceptance Expiry Date</t>
  </si>
  <si>
    <t>Review Frequency</t>
  </si>
  <si>
    <t>Next Review Date</t>
  </si>
  <si>
    <t>Acceptance Status</t>
  </si>
  <si>
    <t>Approval Decision</t>
  </si>
  <si>
    <t>Approval Date</t>
  </si>
  <si>
    <t>Approval Conditions</t>
  </si>
  <si>
    <t>Monitoring Requirements</t>
  </si>
  <si>
    <t>Risk Register Updated</t>
  </si>
  <si>
    <t>Treatment Plan Updated</t>
  </si>
  <si>
    <t>Exception Link</t>
  </si>
  <si>
    <t>Evidence Reference</t>
  </si>
  <si>
    <t>Closure Criteria</t>
  </si>
  <si>
    <t>Closure Date</t>
  </si>
  <si>
    <t>Escalation Required</t>
  </si>
  <si>
    <t>Comments</t>
  </si>
  <si>
    <t>ACC-RR-001</t>
  </si>
  <si>
    <t>VND-001</t>
  </si>
  <si>
    <t>CloudSphere Infrastructure</t>
  </si>
  <si>
    <t>Enhanced</t>
  </si>
  <si>
    <t>Residual Vendor Risk</t>
  </si>
  <si>
    <t>VND-001-RISK</t>
  </si>
  <si>
    <t>Residual third-party risk remaining after implemented/planned treatment.</t>
  </si>
  <si>
    <t>High</t>
  </si>
  <si>
    <t>Mitigate</t>
  </si>
  <si>
    <t>In Progress</t>
  </si>
  <si>
    <t>Medium</t>
  </si>
  <si>
    <t>Within / Pending Tolerance Review</t>
  </si>
  <si>
    <t>Yes</t>
  </si>
  <si>
    <t>Temporary acceptance pending completion and validation of treatment actions.</t>
  </si>
  <si>
    <t>To Be Assessed</t>
  </si>
  <si>
    <t>Enhanced monitoring and compensating controls.</t>
  </si>
  <si>
    <t>Management</t>
  </si>
  <si>
    <t>2026-08-25</t>
  </si>
  <si>
    <t>2026-12-31</t>
  </si>
  <si>
    <t>Quarterly</t>
  </si>
  <si>
    <t>2026-09-30</t>
  </si>
  <si>
    <t>Pending</t>
  </si>
  <si>
    <t>Acceptance subject to documented conditions and periodic review.</t>
  </si>
  <si>
    <t>Monthly risk monitoring and treatment progress review.</t>
  </si>
  <si>
    <t>EXC-001</t>
  </si>
  <si>
    <t>Simulated risk evidence.</t>
  </si>
  <si>
    <t>Treatment completion or renewed formal acceptance.</t>
  </si>
  <si>
    <t>No</t>
  </si>
  <si>
    <t>Simulated acceptance record.</t>
  </si>
  <si>
    <t>ACC-RR-002</t>
  </si>
  <si>
    <t>VND-002</t>
  </si>
  <si>
    <t>Microsoft 365 Services</t>
  </si>
  <si>
    <t>Standard</t>
  </si>
  <si>
    <t>VND-002-RISK</t>
  </si>
  <si>
    <t>Low</t>
  </si>
  <si>
    <t>EXC-002</t>
  </si>
  <si>
    <t>ACC-RR-003</t>
  </si>
  <si>
    <t>VND-003</t>
  </si>
  <si>
    <t>SecureVault Backup</t>
  </si>
  <si>
    <t>VND-003-RISK</t>
  </si>
  <si>
    <t>EXC-003</t>
  </si>
  <si>
    <t>ACC-RR-004</t>
  </si>
  <si>
    <t>VND-004</t>
  </si>
  <si>
    <t>TalentCore HRMS</t>
  </si>
  <si>
    <t>VND-004-RISK</t>
  </si>
  <si>
    <t>EXC-004</t>
  </si>
  <si>
    <t>ACC-RR-005</t>
  </si>
  <si>
    <t>VND-005</t>
  </si>
  <si>
    <t>PayMatrix Solutions</t>
  </si>
  <si>
    <t>VND-005-RISK</t>
  </si>
  <si>
    <t>EXC-005</t>
  </si>
  <si>
    <t>ACC-RR-006</t>
  </si>
  <si>
    <t>VND-006</t>
  </si>
  <si>
    <t>SalesFlow CRM</t>
  </si>
  <si>
    <t>VND-006-RISK</t>
  </si>
  <si>
    <t>EXC-006</t>
  </si>
  <si>
    <t>ACC-RR-007</t>
  </si>
  <si>
    <t>VND-007</t>
  </si>
  <si>
    <t>NetShield SOC Services</t>
  </si>
  <si>
    <t>VND-007-RISK</t>
  </si>
  <si>
    <t>EXC-007</t>
  </si>
  <si>
    <t>ACC-RR-008</t>
  </si>
  <si>
    <t>VND-008</t>
  </si>
  <si>
    <t>RedFort Security Testing</t>
  </si>
  <si>
    <t>VND-008-RISK</t>
  </si>
  <si>
    <t>EXC-008</t>
  </si>
  <si>
    <t>ACC-RR-009</t>
  </si>
  <si>
    <t>VND-009</t>
  </si>
  <si>
    <t>EndpointGuard Technologies</t>
  </si>
  <si>
    <t>VND-009-RISK</t>
  </si>
  <si>
    <t>EXC-009</t>
  </si>
  <si>
    <t>ACC-RR-010</t>
  </si>
  <si>
    <t>VND-010</t>
  </si>
  <si>
    <t>ConnectNet Communications</t>
  </si>
  <si>
    <t>VND-010-RISK</t>
  </si>
  <si>
    <t>EXC-010</t>
  </si>
  <si>
    <t>ACC-RR-011</t>
  </si>
  <si>
    <t>VND-011</t>
  </si>
  <si>
    <t>DataCenterOne</t>
  </si>
  <si>
    <t>VND-011-RISK</t>
  </si>
  <si>
    <t>EXC-011</t>
  </si>
  <si>
    <t>ACC-RR-012</t>
  </si>
  <si>
    <t>VND-012</t>
  </si>
  <si>
    <t>RecruitPro Services</t>
  </si>
  <si>
    <t>VND-012-RISK</t>
  </si>
  <si>
    <t>EXC-012</t>
  </si>
  <si>
    <t>ACC-RR-013</t>
  </si>
  <si>
    <t>VND-013</t>
  </si>
  <si>
    <t>FinLedger Systems</t>
  </si>
  <si>
    <t>VND-013-RISK</t>
  </si>
  <si>
    <t>EXC-013</t>
  </si>
  <si>
    <t>ACC-RR-014</t>
  </si>
  <si>
    <t>VND-014</t>
  </si>
  <si>
    <t>PayGate Services</t>
  </si>
  <si>
    <t>VND-014-RISK</t>
  </si>
  <si>
    <t>EXC-014</t>
  </si>
  <si>
    <t>ACC-RR-015</t>
  </si>
  <si>
    <t>VND-015</t>
  </si>
  <si>
    <t>ServiceDesk Pro</t>
  </si>
  <si>
    <t>VND-015-RISK</t>
  </si>
  <si>
    <t>EXC-015</t>
  </si>
  <si>
    <t>ACC-RR-016</t>
  </si>
  <si>
    <t>VND-016</t>
  </si>
  <si>
    <t>PrintSecure Solutions</t>
  </si>
  <si>
    <t>Basic</t>
  </si>
  <si>
    <t>VND-016-RISK</t>
  </si>
  <si>
    <t>EXC-016</t>
  </si>
  <si>
    <t>ACC-RR-017</t>
  </si>
  <si>
    <t>VND-017</t>
  </si>
  <si>
    <t>DocuSign Services</t>
  </si>
  <si>
    <t>VND-017-RISK</t>
  </si>
  <si>
    <t>EXC-017</t>
  </si>
  <si>
    <t>ACC-RR-018</t>
  </si>
  <si>
    <t>VND-018</t>
  </si>
  <si>
    <t>LegalEdge Associates</t>
  </si>
  <si>
    <t>VND-018-RISK</t>
  </si>
  <si>
    <t>EXC-018</t>
  </si>
  <si>
    <t>ACC-RR-019</t>
  </si>
  <si>
    <t>VND-019</t>
  </si>
  <si>
    <t>ComplianceCheck Advisory</t>
  </si>
  <si>
    <t>VND-019-RISK</t>
  </si>
  <si>
    <t>EXC-019</t>
  </si>
  <si>
    <t>ACC-RR-020</t>
  </si>
  <si>
    <t>VND-020</t>
  </si>
  <si>
    <t>SecureShred Services</t>
  </si>
  <si>
    <t>VND-020-RISK</t>
  </si>
  <si>
    <t>EXC-020</t>
  </si>
  <si>
    <t>ACC-RR-021</t>
  </si>
  <si>
    <t>VND-021</t>
  </si>
  <si>
    <t>GuardForce Security</t>
  </si>
  <si>
    <t>VND-021-RISK</t>
  </si>
  <si>
    <t>EXC-021</t>
  </si>
  <si>
    <t>ACC-RR-022</t>
  </si>
  <si>
    <t>VND-022</t>
  </si>
  <si>
    <t>SafeCam Systems</t>
  </si>
  <si>
    <t>VND-022-RISK</t>
  </si>
  <si>
    <t>EXC-022</t>
  </si>
  <si>
    <t>ACC-RR-023</t>
  </si>
  <si>
    <t>VND-023</t>
  </si>
  <si>
    <t>OfficeNet Infrastructure</t>
  </si>
  <si>
    <t>VND-023-RISK</t>
  </si>
  <si>
    <t>EXC-023</t>
  </si>
  <si>
    <t>ACC-RR-024</t>
  </si>
  <si>
    <t>VND-024</t>
  </si>
  <si>
    <t>CodeSecure Labs</t>
  </si>
  <si>
    <t>VND-024-RISK</t>
  </si>
  <si>
    <t>EXC-024</t>
  </si>
  <si>
    <t>ACC-RR-025</t>
  </si>
  <si>
    <t>VND-025</t>
  </si>
  <si>
    <t>LearnSecure Training</t>
  </si>
  <si>
    <t>VND-025-RISK</t>
  </si>
  <si>
    <t>EXC-025</t>
  </si>
  <si>
    <t>ACC-RR-026</t>
  </si>
  <si>
    <t>VND-026</t>
  </si>
  <si>
    <t>TeleSupport Services</t>
  </si>
  <si>
    <t>VND-026-RISK</t>
  </si>
  <si>
    <t>EXC-026</t>
  </si>
  <si>
    <t>ACC-RR-027</t>
  </si>
  <si>
    <t>VND-027</t>
  </si>
  <si>
    <t>MarketReach Analytics</t>
  </si>
  <si>
    <t>VND-027-RISK</t>
  </si>
  <si>
    <t>EXC-027</t>
  </si>
  <si>
    <t>ACC-RR-028</t>
  </si>
  <si>
    <t>VND-028</t>
  </si>
  <si>
    <t>DevCloud Platform</t>
  </si>
  <si>
    <t>VND-028-RISK</t>
  </si>
  <si>
    <t>EXC-028</t>
  </si>
  <si>
    <t>ACC-RR-029</t>
  </si>
  <si>
    <t>VND-029</t>
  </si>
  <si>
    <t>DisasterReady DR Services</t>
  </si>
  <si>
    <t>VND-029-RISK</t>
  </si>
  <si>
    <t>EXC-029</t>
  </si>
  <si>
    <t>ACC-RR-030</t>
  </si>
  <si>
    <t>VND-030</t>
  </si>
  <si>
    <t>SecureCourier Logistics</t>
  </si>
  <si>
    <t>VND-030-RISK</t>
  </si>
  <si>
    <t>EXC-030</t>
  </si>
  <si>
    <t>Approval ID</t>
  </si>
  <si>
    <t>Approval Stage</t>
  </si>
  <si>
    <t>Approver Role</t>
  </si>
  <si>
    <t>Approver Name</t>
  </si>
  <si>
    <t>Decision</t>
  </si>
  <si>
    <t>Decision Date</t>
  </si>
  <si>
    <t>Rationale / Conditions</t>
  </si>
  <si>
    <t>APR-RR-001</t>
  </si>
  <si>
    <t>Initial Risk Acceptance</t>
  </si>
  <si>
    <t>Simulated Approver</t>
  </si>
  <si>
    <t>Formal approval after residual-risk review.</t>
  </si>
  <si>
    <t>Simulated approval record.</t>
  </si>
  <si>
    <t>APR-RR-002</t>
  </si>
  <si>
    <t>APR-RR-003</t>
  </si>
  <si>
    <t>APR-RR-004</t>
  </si>
  <si>
    <t>APR-RR-005</t>
  </si>
  <si>
    <t>APR-RR-006</t>
  </si>
  <si>
    <t>APR-RR-007</t>
  </si>
  <si>
    <t>APR-RR-008</t>
  </si>
  <si>
    <t>APR-RR-009</t>
  </si>
  <si>
    <t>APR-RR-010</t>
  </si>
  <si>
    <t>APR-RR-011</t>
  </si>
  <si>
    <t>APR-RR-012</t>
  </si>
  <si>
    <t>APR-RR-013</t>
  </si>
  <si>
    <t>APR-RR-014</t>
  </si>
  <si>
    <t>APR-RR-015</t>
  </si>
  <si>
    <t>APR-RR-016</t>
  </si>
  <si>
    <t>APR-RR-017</t>
  </si>
  <si>
    <t>APR-RR-018</t>
  </si>
  <si>
    <t>APR-RR-019</t>
  </si>
  <si>
    <t>APR-RR-020</t>
  </si>
  <si>
    <t>APR-RR-021</t>
  </si>
  <si>
    <t>APR-RR-022</t>
  </si>
  <si>
    <t>APR-RR-023</t>
  </si>
  <si>
    <t>APR-RR-024</t>
  </si>
  <si>
    <t>APR-RR-025</t>
  </si>
  <si>
    <t>APR-RR-026</t>
  </si>
  <si>
    <t>APR-RR-027</t>
  </si>
  <si>
    <t>APR-RR-028</t>
  </si>
  <si>
    <t>APR-RR-029</t>
  </si>
  <si>
    <t>APR-RR-030</t>
  </si>
  <si>
    <t>Review ID</t>
  </si>
  <si>
    <t>Previous Residual Rating</t>
  </si>
  <si>
    <t>Current Residual Rating</t>
  </si>
  <si>
    <t>Risk Movement</t>
  </si>
  <si>
    <t>Material Change</t>
  </si>
  <si>
    <t>Incident Since Acceptance</t>
  </si>
  <si>
    <t>Treatment Progress</t>
  </si>
  <si>
    <t>Control Effectiveness</t>
  </si>
  <si>
    <t>Acceptance Still Valid</t>
  </si>
  <si>
    <t>New Expiry Date</t>
  </si>
  <si>
    <t>Reviewer</t>
  </si>
  <si>
    <t>Review Date</t>
  </si>
  <si>
    <t>Actions</t>
  </si>
  <si>
    <t>REV-ACC-001</t>
  </si>
  <si>
    <t>No Change</t>
  </si>
  <si>
    <t>GRC Analyst</t>
  </si>
  <si>
    <t>Complete reassessment and update acceptance if required.</t>
  </si>
  <si>
    <t>Simulated review.</t>
  </si>
  <si>
    <t>REV-ACC-002</t>
  </si>
  <si>
    <t>REV-ACC-003</t>
  </si>
  <si>
    <t>REV-ACC-004</t>
  </si>
  <si>
    <t>REV-ACC-005</t>
  </si>
  <si>
    <t>REV-ACC-006</t>
  </si>
  <si>
    <t>REV-ACC-007</t>
  </si>
  <si>
    <t>REV-ACC-008</t>
  </si>
  <si>
    <t>REV-ACC-009</t>
  </si>
  <si>
    <t>REV-ACC-010</t>
  </si>
  <si>
    <t>REV-ACC-011</t>
  </si>
  <si>
    <t>REV-ACC-012</t>
  </si>
  <si>
    <t>REV-ACC-013</t>
  </si>
  <si>
    <t>REV-ACC-014</t>
  </si>
  <si>
    <t>REV-ACC-015</t>
  </si>
  <si>
    <t>REV-ACC-016</t>
  </si>
  <si>
    <t>REV-ACC-017</t>
  </si>
  <si>
    <t>REV-ACC-018</t>
  </si>
  <si>
    <t>REV-ACC-019</t>
  </si>
  <si>
    <t>REV-ACC-020</t>
  </si>
  <si>
    <t>REV-ACC-021</t>
  </si>
  <si>
    <t>REV-ACC-022</t>
  </si>
  <si>
    <t>REV-ACC-023</t>
  </si>
  <si>
    <t>REV-ACC-024</t>
  </si>
  <si>
    <t>REV-ACC-025</t>
  </si>
  <si>
    <t>REV-ACC-026</t>
  </si>
  <si>
    <t>REV-ACC-027</t>
  </si>
  <si>
    <t>REV-ACC-028</t>
  </si>
  <si>
    <t>REV-ACC-029</t>
  </si>
  <si>
    <t>REV-ACC-030</t>
  </si>
  <si>
    <t>Monitor ID</t>
  </si>
  <si>
    <t>Expiry Date</t>
  </si>
  <si>
    <t>Days to Expiry</t>
  </si>
  <si>
    <t>Approval Status</t>
  </si>
  <si>
    <t>Review Status</t>
  </si>
  <si>
    <t>Owner</t>
  </si>
  <si>
    <t>Action Required</t>
  </si>
  <si>
    <t>Renewal Decision</t>
  </si>
  <si>
    <t>MON-ACC-001</t>
  </si>
  <si>
    <t>GRC Manager</t>
  </si>
  <si>
    <t>Complete risk review before expiry</t>
  </si>
  <si>
    <t>Simulated expiry monitoring.</t>
  </si>
  <si>
    <t>MON-ACC-002</t>
  </si>
  <si>
    <t>MON-ACC-003</t>
  </si>
  <si>
    <t>MON-ACC-004</t>
  </si>
  <si>
    <t>MON-ACC-005</t>
  </si>
  <si>
    <t>MON-ACC-006</t>
  </si>
  <si>
    <t>MON-ACC-007</t>
  </si>
  <si>
    <t>MON-ACC-008</t>
  </si>
  <si>
    <t>MON-ACC-009</t>
  </si>
  <si>
    <t>MON-ACC-010</t>
  </si>
  <si>
    <t>MON-ACC-011</t>
  </si>
  <si>
    <t>MON-ACC-012</t>
  </si>
  <si>
    <t>MON-ACC-013</t>
  </si>
  <si>
    <t>MON-ACC-014</t>
  </si>
  <si>
    <t>MON-ACC-015</t>
  </si>
  <si>
    <t>MON-ACC-016</t>
  </si>
  <si>
    <t>MON-ACC-017</t>
  </si>
  <si>
    <t>MON-ACC-018</t>
  </si>
  <si>
    <t>MON-ACC-019</t>
  </si>
  <si>
    <t>MON-ACC-020</t>
  </si>
  <si>
    <t>MON-ACC-021</t>
  </si>
  <si>
    <t>MON-ACC-022</t>
  </si>
  <si>
    <t>MON-ACC-023</t>
  </si>
  <si>
    <t>MON-ACC-024</t>
  </si>
  <si>
    <t>MON-ACC-025</t>
  </si>
  <si>
    <t>MON-ACC-026</t>
  </si>
  <si>
    <t>MON-ACC-027</t>
  </si>
  <si>
    <t>MON-ACC-028</t>
  </si>
  <si>
    <t>MON-ACC-029</t>
  </si>
  <si>
    <t>MON-ACC-030</t>
  </si>
  <si>
    <t>Metric</t>
  </si>
  <si>
    <t>Management Interpretation</t>
  </si>
  <si>
    <t>Count</t>
  </si>
  <si>
    <t>Vendor Population</t>
  </si>
  <si>
    <t>Current residual risk acceptance population</t>
  </si>
  <si>
    <t>Critical</t>
  </si>
  <si>
    <t>Acceptance Records</t>
  </si>
  <si>
    <t>Formal acceptance lifecycle records</t>
  </si>
  <si>
    <t>Approval Records</t>
  </si>
  <si>
    <t>Approval workflow population</t>
  </si>
  <si>
    <t>Review Records</t>
  </si>
  <si>
    <t>Periodic acceptance review population</t>
  </si>
  <si>
    <t>Expiry Records</t>
  </si>
  <si>
    <t>Time-bound acceptance monitoring</t>
  </si>
  <si>
    <t>Approved / Conditional</t>
  </si>
  <si>
    <t>Accepted residual risk population</t>
  </si>
  <si>
    <t>Expired</t>
  </si>
  <si>
    <t>Requires immediate review</t>
  </si>
  <si>
    <t>High/Critical Residual Risk</t>
  </si>
  <si>
    <t>Priority risk acceptance population</t>
  </si>
  <si>
    <t>Open / Pending</t>
  </si>
  <si>
    <t>Awaiting formal decision</t>
  </si>
  <si>
    <t>Renewal / Review Required</t>
  </si>
  <si>
    <t>Acceptance validity requiring review</t>
  </si>
  <si>
    <t>Area</t>
  </si>
  <si>
    <t>Guidance</t>
  </si>
  <si>
    <t>Rule</t>
  </si>
  <si>
    <t>Residual Risk</t>
  </si>
  <si>
    <t>Risk remaining after controls/treatment</t>
  </si>
  <si>
    <t>Use current evidence and reassessment</t>
  </si>
  <si>
    <t>Acceptance Decision</t>
  </si>
  <si>
    <t>Formal decision to retain residual risk</t>
  </si>
  <si>
    <t>Must be within or explicitly approved above tolerance</t>
  </si>
  <si>
    <t>Authority</t>
  </si>
  <si>
    <t>Assign approval based on risk level</t>
  </si>
  <si>
    <t>Requester should not be sole approver</t>
  </si>
  <si>
    <t>Conditions</t>
  </si>
  <si>
    <t>Document conditions attached to acceptance</t>
  </si>
  <si>
    <t>Track conditions as actions</t>
  </si>
  <si>
    <t>Expiry</t>
  </si>
  <si>
    <t>Set defined validity period</t>
  </si>
  <si>
    <t>Review before expiry</t>
  </si>
  <si>
    <t>Monitoring</t>
  </si>
  <si>
    <t>Track incidents, control effectiveness and treatment progress</t>
  </si>
  <si>
    <t>Revoke/reassess if risk materially changes</t>
  </si>
  <si>
    <t>Closure</t>
  </si>
  <si>
    <t>Close when treatment removes need for acceptance or risk decision changes</t>
  </si>
  <si>
    <t>Update risk register and evidence</t>
  </si>
  <si>
    <t>Field used to document residual risk, business rationale, acceptance authority, conditions, monitoring, expiry and closure.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</si>
</sst>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98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Residual Risk Acceptance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B9-4B77-BA24-32424721C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Accepted Risks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8</xdr:row>
      <xdr:rowOff>0</xdr:rowOff>
    </xdr:from>
    <xdr:ext cx="46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RiskAcceptanceRegister" displayName="VendorRiskAcceptanceRegister" ref="A1:AQ31">
  <autoFilter ref="A1:AQ31" xr:uid="{00000000-0009-0000-0100-000001000000}"/>
  <tableColumns count="43">
    <tableColumn id="1" xr3:uid="{00000000-0010-0000-0000-000001000000}" name="Acceptance ID" dataDxfId="91"/>
    <tableColumn id="2" xr3:uid="{00000000-0010-0000-0000-000002000000}" name="Vendor ID" dataDxfId="90"/>
    <tableColumn id="3" xr3:uid="{00000000-0010-0000-0000-000003000000}" name="Vendor Name" dataDxfId="89"/>
    <tableColumn id="4" xr3:uid="{00000000-0010-0000-0000-000004000000}" name="TPRM Tier" dataDxfId="88"/>
    <tableColumn id="5" xr3:uid="{00000000-0010-0000-0000-000005000000}" name="Risk Source" dataDxfId="87"/>
    <tableColumn id="6" xr3:uid="{00000000-0010-0000-0000-000006000000}" name="Risk ID" dataDxfId="86"/>
    <tableColumn id="7" xr3:uid="{00000000-0010-0000-0000-000007000000}" name="Risk Description" dataDxfId="85"/>
    <tableColumn id="8" xr3:uid="{00000000-0010-0000-0000-000008000000}" name="Inherent Likelihood" dataDxfId="84"/>
    <tableColumn id="9" xr3:uid="{00000000-0010-0000-0000-000009000000}" name="Inherent Impact" dataDxfId="83"/>
    <tableColumn id="10" xr3:uid="{00000000-0010-0000-0000-00000A000000}" name="Inherent Score" dataDxfId="82"/>
    <tableColumn id="11" xr3:uid="{00000000-0010-0000-0000-00000B000000}" name="Inherent Rating" dataDxfId="81"/>
    <tableColumn id="12" xr3:uid="{00000000-0010-0000-0000-00000C000000}" name="Treatment Decision" dataDxfId="80"/>
    <tableColumn id="13" xr3:uid="{00000000-0010-0000-0000-00000D000000}" name="Treatment Status" dataDxfId="79"/>
    <tableColumn id="14" xr3:uid="{00000000-0010-0000-0000-00000E000000}" name="Residual Likelihood" dataDxfId="78"/>
    <tableColumn id="15" xr3:uid="{00000000-0010-0000-0000-00000F000000}" name="Residual Impact" dataDxfId="77"/>
    <tableColumn id="16" xr3:uid="{00000000-0010-0000-0000-000010000000}" name="Residual Score" dataDxfId="76"/>
    <tableColumn id="17" xr3:uid="{00000000-0010-0000-0000-000011000000}" name="Residual Rating" dataDxfId="75"/>
    <tableColumn id="18" xr3:uid="{00000000-0010-0000-0000-000012000000}" name="Risk Tolerance Position" dataDxfId="74"/>
    <tableColumn id="19" xr3:uid="{00000000-0010-0000-0000-000013000000}" name="Acceptance Required" dataDxfId="73"/>
    <tableColumn id="20" xr3:uid="{00000000-0010-0000-0000-000014000000}" name="Business Justification" dataDxfId="72"/>
    <tableColumn id="21" xr3:uid="{00000000-0010-0000-0000-000015000000}" name="Business Impact" dataDxfId="71"/>
    <tableColumn id="22" xr3:uid="{00000000-0010-0000-0000-000016000000}" name="Security Impact" dataDxfId="70"/>
    <tableColumn id="23" xr3:uid="{00000000-0010-0000-0000-000017000000}" name="Compensating Controls" dataDxfId="69"/>
    <tableColumn id="24" xr3:uid="{00000000-0010-0000-0000-000018000000}" name="Risk Owner" dataDxfId="68"/>
    <tableColumn id="25" xr3:uid="{00000000-0010-0000-0000-000019000000}" name="Acceptance Authority" dataDxfId="67"/>
    <tableColumn id="26" xr3:uid="{00000000-0010-0000-0000-00001A000000}" name="Request Date" dataDxfId="66"/>
    <tableColumn id="27" xr3:uid="{00000000-0010-0000-0000-00001B000000}" name="Acceptance Start Date" dataDxfId="65"/>
    <tableColumn id="28" xr3:uid="{00000000-0010-0000-0000-00001C000000}" name="Acceptance Expiry Date" dataDxfId="64"/>
    <tableColumn id="29" xr3:uid="{00000000-0010-0000-0000-00001D000000}" name="Review Frequency" dataDxfId="63"/>
    <tableColumn id="30" xr3:uid="{00000000-0010-0000-0000-00001E000000}" name="Next Review Date" dataDxfId="62"/>
    <tableColumn id="31" xr3:uid="{00000000-0010-0000-0000-00001F000000}" name="Acceptance Status" dataDxfId="61"/>
    <tableColumn id="32" xr3:uid="{00000000-0010-0000-0000-000020000000}" name="Approval Decision" dataDxfId="60"/>
    <tableColumn id="33" xr3:uid="{00000000-0010-0000-0000-000021000000}" name="Approval Date" dataDxfId="59"/>
    <tableColumn id="34" xr3:uid="{00000000-0010-0000-0000-000022000000}" name="Approval Conditions" dataDxfId="58"/>
    <tableColumn id="35" xr3:uid="{00000000-0010-0000-0000-000023000000}" name="Monitoring Requirements" dataDxfId="57"/>
    <tableColumn id="36" xr3:uid="{00000000-0010-0000-0000-000024000000}" name="Risk Register Updated" dataDxfId="56"/>
    <tableColumn id="37" xr3:uid="{00000000-0010-0000-0000-000025000000}" name="Treatment Plan Updated" dataDxfId="55"/>
    <tableColumn id="38" xr3:uid="{00000000-0010-0000-0000-000026000000}" name="Exception Link" dataDxfId="54"/>
    <tableColumn id="39" xr3:uid="{00000000-0010-0000-0000-000027000000}" name="Evidence Reference" dataDxfId="53"/>
    <tableColumn id="40" xr3:uid="{00000000-0010-0000-0000-000028000000}" name="Closure Criteria" dataDxfId="52"/>
    <tableColumn id="41" xr3:uid="{00000000-0010-0000-0000-000029000000}" name="Closure Date" dataDxfId="51"/>
    <tableColumn id="42" xr3:uid="{00000000-0010-0000-0000-00002A000000}" name="Escalation Required" dataDxfId="50"/>
    <tableColumn id="43" xr3:uid="{00000000-0010-0000-0000-00002B000000}" name="Comments" dataDxfId="4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AcceptanceApprovalLog" displayName="RiskAcceptanceApprovalLog" ref="A1:M31">
  <autoFilter ref="A1:M31" xr:uid="{00000000-0009-0000-0100-000002000000}"/>
  <tableColumns count="13">
    <tableColumn id="1" xr3:uid="{00000000-0010-0000-0100-000001000000}" name="Approval ID" dataDxfId="48"/>
    <tableColumn id="2" xr3:uid="{00000000-0010-0000-0100-000002000000}" name="Acceptance ID" dataDxfId="47"/>
    <tableColumn id="3" xr3:uid="{00000000-0010-0000-0100-000003000000}" name="Vendor ID" dataDxfId="46"/>
    <tableColumn id="4" xr3:uid="{00000000-0010-0000-0100-000004000000}" name="Vendor Name" dataDxfId="45"/>
    <tableColumn id="5" xr3:uid="{00000000-0010-0000-0100-000005000000}" name="Approval Stage" dataDxfId="44"/>
    <tableColumn id="6" xr3:uid="{00000000-0010-0000-0100-000006000000}" name="Approver Role" dataDxfId="43"/>
    <tableColumn id="7" xr3:uid="{00000000-0010-0000-0100-000007000000}" name="Approver Name" dataDxfId="42"/>
    <tableColumn id="8" xr3:uid="{00000000-0010-0000-0100-000008000000}" name="Decision" dataDxfId="41"/>
    <tableColumn id="9" xr3:uid="{00000000-0010-0000-0100-000009000000}" name="Decision Date" dataDxfId="40"/>
    <tableColumn id="10" xr3:uid="{00000000-0010-0000-0100-00000A000000}" name="Rationale / Conditions" dataDxfId="39"/>
    <tableColumn id="11" xr3:uid="{00000000-0010-0000-0100-00000B000000}" name="Evidence Reference" dataDxfId="38"/>
    <tableColumn id="12" xr3:uid="{00000000-0010-0000-0100-00000C000000}" name="Next Review Date" dataDxfId="37"/>
    <tableColumn id="13" xr3:uid="{00000000-0010-0000-0100-00000D000000}" name="Comments" dataDxfId="3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cceptanceReviewLog" displayName="AcceptanceReviewLog" ref="A1:S31">
  <autoFilter ref="A1:S31" xr:uid="{00000000-0009-0000-0100-000003000000}"/>
  <tableColumns count="19">
    <tableColumn id="1" xr3:uid="{00000000-0010-0000-0200-000001000000}" name="Review ID" dataDxfId="35"/>
    <tableColumn id="2" xr3:uid="{00000000-0010-0000-0200-000002000000}" name="Acceptance ID" dataDxfId="34"/>
    <tableColumn id="3" xr3:uid="{00000000-0010-0000-0200-000003000000}" name="Vendor ID" dataDxfId="33"/>
    <tableColumn id="4" xr3:uid="{00000000-0010-0000-0200-000004000000}" name="Vendor Name" dataDxfId="32"/>
    <tableColumn id="5" xr3:uid="{00000000-0010-0000-0200-000005000000}" name="Previous Residual Rating" dataDxfId="31"/>
    <tableColumn id="6" xr3:uid="{00000000-0010-0000-0200-000006000000}" name="Current Residual Rating" dataDxfId="30"/>
    <tableColumn id="7" xr3:uid="{00000000-0010-0000-0200-000007000000}" name="Risk Movement" dataDxfId="29"/>
    <tableColumn id="8" xr3:uid="{00000000-0010-0000-0200-000008000000}" name="Material Change" dataDxfId="28"/>
    <tableColumn id="9" xr3:uid="{00000000-0010-0000-0200-000009000000}" name="Incident Since Acceptance" dataDxfId="27"/>
    <tableColumn id="10" xr3:uid="{00000000-0010-0000-0200-00000A000000}" name="Treatment Progress" dataDxfId="26"/>
    <tableColumn id="11" xr3:uid="{00000000-0010-0000-0200-00000B000000}" name="Control Effectiveness" dataDxfId="25"/>
    <tableColumn id="12" xr3:uid="{00000000-0010-0000-0200-00000C000000}" name="Acceptance Still Valid" dataDxfId="24"/>
    <tableColumn id="13" xr3:uid="{00000000-0010-0000-0200-00000D000000}" name="New Expiry Date" dataDxfId="23"/>
    <tableColumn id="14" xr3:uid="{00000000-0010-0000-0200-00000E000000}" name="Reviewer" dataDxfId="22"/>
    <tableColumn id="15" xr3:uid="{00000000-0010-0000-0200-00000F000000}" name="Review Date" dataDxfId="21"/>
    <tableColumn id="16" xr3:uid="{00000000-0010-0000-0200-000010000000}" name="Decision" dataDxfId="20"/>
    <tableColumn id="17" xr3:uid="{00000000-0010-0000-0200-000011000000}" name="Actions" dataDxfId="19"/>
    <tableColumn id="18" xr3:uid="{00000000-0010-0000-0200-000012000000}" name="Evidence Reference" dataDxfId="18"/>
    <tableColumn id="19" xr3:uid="{00000000-0010-0000-0200-000013000000}" name="Comments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cceptanceExpiryMonitoring" displayName="AcceptanceExpiryMonitoring" ref="A1:N31">
  <autoFilter ref="A1:N31" xr:uid="{00000000-0009-0000-0100-000004000000}"/>
  <tableColumns count="14">
    <tableColumn id="1" xr3:uid="{00000000-0010-0000-0300-000001000000}" name="Monitor ID" dataDxfId="16"/>
    <tableColumn id="2" xr3:uid="{00000000-0010-0000-0300-000002000000}" name="Acceptance ID" dataDxfId="15"/>
    <tableColumn id="3" xr3:uid="{00000000-0010-0000-0300-000003000000}" name="Vendor ID" dataDxfId="14"/>
    <tableColumn id="4" xr3:uid="{00000000-0010-0000-0300-000004000000}" name="Vendor Name" dataDxfId="13"/>
    <tableColumn id="5" xr3:uid="{00000000-0010-0000-0300-000005000000}" name="Expiry Date" dataDxfId="12"/>
    <tableColumn id="6" xr3:uid="{00000000-0010-0000-0300-000006000000}" name="Days to Expiry" dataDxfId="11"/>
    <tableColumn id="7" xr3:uid="{00000000-0010-0000-0300-000007000000}" name="Residual Rating" dataDxfId="10"/>
    <tableColumn id="8" xr3:uid="{00000000-0010-0000-0300-000008000000}" name="Approval Status" dataDxfId="9"/>
    <tableColumn id="9" xr3:uid="{00000000-0010-0000-0300-000009000000}" name="Review Status" dataDxfId="8"/>
    <tableColumn id="10" xr3:uid="{00000000-0010-0000-0300-00000A000000}" name="Owner" dataDxfId="7"/>
    <tableColumn id="11" xr3:uid="{00000000-0010-0000-0300-00000B000000}" name="Escalation Required" dataDxfId="6"/>
    <tableColumn id="12" xr3:uid="{00000000-0010-0000-0300-00000C000000}" name="Action Required" dataDxfId="5"/>
    <tableColumn id="13" xr3:uid="{00000000-0010-0000-0300-00000D000000}" name="Renewal Decision" dataDxfId="4"/>
    <tableColumn id="14" xr3:uid="{00000000-0010-0000-0300-00000E000000}" name="Comments" dataDxfId="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iskAcceptanceSummary" displayName="RiskAcceptanceSummary" ref="A1:C11">
  <autoFilter ref="A1:C11" xr:uid="{00000000-0009-0000-0100-000005000000}"/>
  <tableColumns count="3">
    <tableColumn id="1" xr3:uid="{00000000-0010-0000-0400-000001000000}" name="Metric" dataDxfId="2"/>
    <tableColumn id="2" xr3:uid="{00000000-0010-0000-0400-000002000000}" name="Value" dataDxfId="1"/>
    <tableColumn id="3" xr3:uid="{00000000-0010-0000-0400-000003000000}" name="Management Interpret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workbookViewId="0">
      <selection sqref="A1:XFD1"/>
    </sheetView>
  </sheetViews>
  <sheetFormatPr defaultRowHeight="14.4" x14ac:dyDescent="0.3"/>
  <cols>
    <col min="1" max="1" width="30" customWidth="1"/>
    <col min="2" max="2" width="115" customWidth="1"/>
  </cols>
  <sheetData>
    <row r="1" spans="1:2" s="5" customFormat="1" ht="46.8" x14ac:dyDescent="0.3">
      <c r="A1" s="3" t="s">
        <v>0</v>
      </c>
      <c r="B1" s="4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2" t="s">
        <v>9</v>
      </c>
    </row>
    <row r="6" spans="1:2" ht="28.8" x14ac:dyDescent="0.3">
      <c r="A6" s="2" t="s">
        <v>10</v>
      </c>
      <c r="B6" s="2" t="s">
        <v>11</v>
      </c>
    </row>
    <row r="7" spans="1:2" ht="28.8" x14ac:dyDescent="0.3">
      <c r="A7" s="2" t="s">
        <v>12</v>
      </c>
      <c r="B7" s="2" t="s">
        <v>13</v>
      </c>
    </row>
    <row r="8" spans="1:2" ht="28.8" x14ac:dyDescent="0.3">
      <c r="A8" s="2" t="s">
        <v>14</v>
      </c>
      <c r="B8" s="2" t="s">
        <v>15</v>
      </c>
    </row>
    <row r="9" spans="1:2" x14ac:dyDescent="0.3">
      <c r="A9" s="2" t="s">
        <v>16</v>
      </c>
      <c r="B9" s="2" t="s">
        <v>17</v>
      </c>
    </row>
    <row r="10" spans="1:2" x14ac:dyDescent="0.3">
      <c r="A10" s="2" t="s">
        <v>18</v>
      </c>
      <c r="B10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workbookViewId="0">
      <selection activeCell="B8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ht="36" customHeight="1" x14ac:dyDescent="0.3">
      <c r="A1" s="6" t="s">
        <v>20</v>
      </c>
      <c r="B1" s="6" t="s">
        <v>21</v>
      </c>
    </row>
    <row r="2" spans="1:2" x14ac:dyDescent="0.3">
      <c r="A2" s="7" t="s">
        <v>22</v>
      </c>
      <c r="B2" s="7" t="s">
        <v>23</v>
      </c>
    </row>
    <row r="3" spans="1:2" x14ac:dyDescent="0.3">
      <c r="A3" s="7" t="s">
        <v>2</v>
      </c>
      <c r="B3" s="7" t="s">
        <v>3</v>
      </c>
    </row>
    <row r="4" spans="1:2" x14ac:dyDescent="0.3">
      <c r="A4" s="7" t="s">
        <v>4</v>
      </c>
      <c r="B4" s="7" t="s">
        <v>5</v>
      </c>
    </row>
    <row r="5" spans="1:2" x14ac:dyDescent="0.3">
      <c r="A5" s="7" t="s">
        <v>24</v>
      </c>
      <c r="B5" s="7" t="s">
        <v>1</v>
      </c>
    </row>
    <row r="6" spans="1:2" x14ac:dyDescent="0.3">
      <c r="A6" s="7" t="s">
        <v>6</v>
      </c>
      <c r="B6" s="7" t="s">
        <v>7</v>
      </c>
    </row>
    <row r="7" spans="1:2" x14ac:dyDescent="0.3">
      <c r="A7" s="7" t="s">
        <v>25</v>
      </c>
      <c r="B7" s="7" t="s">
        <v>26</v>
      </c>
    </row>
    <row r="8" spans="1:2" x14ac:dyDescent="0.3">
      <c r="A8" s="7" t="s">
        <v>27</v>
      </c>
      <c r="B8" s="7" t="s">
        <v>28</v>
      </c>
    </row>
    <row r="9" spans="1:2" x14ac:dyDescent="0.3">
      <c r="A9" s="7" t="s">
        <v>29</v>
      </c>
      <c r="B9" s="7" t="s">
        <v>30</v>
      </c>
    </row>
    <row r="10" spans="1:2" x14ac:dyDescent="0.3">
      <c r="A10" s="7" t="s">
        <v>31</v>
      </c>
      <c r="B10" s="7" t="s">
        <v>32</v>
      </c>
    </row>
    <row r="11" spans="1:2" x14ac:dyDescent="0.3">
      <c r="A11" s="7" t="s">
        <v>33</v>
      </c>
      <c r="B11" s="7" t="s">
        <v>34</v>
      </c>
    </row>
    <row r="12" spans="1:2" x14ac:dyDescent="0.3">
      <c r="A12" s="7" t="s">
        <v>8</v>
      </c>
      <c r="B12" s="7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Q31"/>
  <sheetViews>
    <sheetView showGridLines="0" workbookViewId="0">
      <pane ySplit="1" topLeftCell="A2" activePane="bottomLeft" state="frozen"/>
      <selection pane="bottomLeft" activeCell="C8" sqref="A2:AQ31"/>
    </sheetView>
  </sheetViews>
  <sheetFormatPr defaultRowHeight="14.4" x14ac:dyDescent="0.3"/>
  <cols>
    <col min="1" max="1" width="18" customWidth="1"/>
    <col min="2" max="2" width="13" customWidth="1"/>
    <col min="3" max="3" width="30" customWidth="1"/>
    <col min="4" max="4" width="15" customWidth="1"/>
    <col min="5" max="5" width="22" customWidth="1"/>
    <col min="6" max="6" width="18" customWidth="1"/>
    <col min="7" max="7" width="65" customWidth="1"/>
    <col min="8" max="9" width="18" customWidth="1"/>
    <col min="10" max="10" width="16" customWidth="1"/>
    <col min="11" max="11" width="18" customWidth="1"/>
    <col min="12" max="13" width="20" customWidth="1"/>
    <col min="14" max="15" width="18" customWidth="1"/>
    <col min="16" max="16" width="16" customWidth="1"/>
    <col min="17" max="17" width="18" customWidth="1"/>
    <col min="18" max="18" width="24" customWidth="1"/>
    <col min="19" max="19" width="20" customWidth="1"/>
    <col min="20" max="20" width="65" customWidth="1"/>
    <col min="21" max="22" width="30" customWidth="1"/>
    <col min="23" max="23" width="65" customWidth="1"/>
    <col min="24" max="24" width="24" customWidth="1"/>
    <col min="25" max="25" width="25" customWidth="1"/>
    <col min="26" max="26" width="16" customWidth="1"/>
    <col min="27" max="30" width="18" customWidth="1"/>
    <col min="31" max="32" width="22" customWidth="1"/>
    <col min="33" max="33" width="16" customWidth="1"/>
    <col min="34" max="35" width="60" customWidth="1"/>
    <col min="36" max="37" width="22" customWidth="1"/>
    <col min="38" max="38" width="18" customWidth="1"/>
    <col min="39" max="39" width="45" customWidth="1"/>
    <col min="40" max="40" width="60" customWidth="1"/>
    <col min="41" max="41" width="16" customWidth="1"/>
    <col min="42" max="42" width="20" customWidth="1"/>
    <col min="43" max="43" width="50" customWidth="1"/>
  </cols>
  <sheetData>
    <row r="1" spans="1:43" ht="28.8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  <c r="Z1" s="1" t="s">
        <v>61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70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77</v>
      </c>
      <c r="AQ1" s="1" t="s">
        <v>78</v>
      </c>
    </row>
    <row r="2" spans="1:43" ht="28.8" x14ac:dyDescent="0.3">
      <c r="A2" s="2" t="s">
        <v>79</v>
      </c>
      <c r="B2" s="2" t="s">
        <v>80</v>
      </c>
      <c r="C2" s="2" t="s">
        <v>81</v>
      </c>
      <c r="D2" s="2" t="s">
        <v>82</v>
      </c>
      <c r="E2" s="2" t="s">
        <v>83</v>
      </c>
      <c r="F2" s="2" t="s">
        <v>84</v>
      </c>
      <c r="G2" s="2" t="s">
        <v>85</v>
      </c>
      <c r="H2" s="2"/>
      <c r="I2" s="2"/>
      <c r="J2" s="2">
        <v>16</v>
      </c>
      <c r="K2" s="2" t="s">
        <v>86</v>
      </c>
      <c r="L2" s="2" t="s">
        <v>87</v>
      </c>
      <c r="M2" s="2" t="s">
        <v>88</v>
      </c>
      <c r="N2" s="2">
        <v>3</v>
      </c>
      <c r="O2" s="2">
        <v>3</v>
      </c>
      <c r="P2" s="2">
        <v>9</v>
      </c>
      <c r="Q2" s="2" t="s">
        <v>89</v>
      </c>
      <c r="R2" s="2" t="s">
        <v>90</v>
      </c>
      <c r="S2" s="2" t="s">
        <v>91</v>
      </c>
      <c r="T2" s="2" t="s">
        <v>92</v>
      </c>
      <c r="U2" s="2" t="s">
        <v>93</v>
      </c>
      <c r="V2" s="2" t="s">
        <v>93</v>
      </c>
      <c r="W2" s="2" t="s">
        <v>94</v>
      </c>
      <c r="X2" s="2" t="s">
        <v>59</v>
      </c>
      <c r="Y2" s="2" t="s">
        <v>95</v>
      </c>
      <c r="Z2" s="2" t="s">
        <v>96</v>
      </c>
      <c r="AA2" s="2" t="s">
        <v>96</v>
      </c>
      <c r="AB2" s="2" t="s">
        <v>97</v>
      </c>
      <c r="AC2" s="2" t="s">
        <v>98</v>
      </c>
      <c r="AD2" s="2" t="s">
        <v>99</v>
      </c>
      <c r="AE2" s="2" t="s">
        <v>100</v>
      </c>
      <c r="AF2" s="2" t="s">
        <v>100</v>
      </c>
      <c r="AG2" s="2"/>
      <c r="AH2" s="2" t="s">
        <v>101</v>
      </c>
      <c r="AI2" s="2" t="s">
        <v>102</v>
      </c>
      <c r="AJ2" s="2" t="s">
        <v>100</v>
      </c>
      <c r="AK2" s="2" t="s">
        <v>100</v>
      </c>
      <c r="AL2" s="2" t="s">
        <v>103</v>
      </c>
      <c r="AM2" s="2" t="s">
        <v>104</v>
      </c>
      <c r="AN2" s="2" t="s">
        <v>105</v>
      </c>
      <c r="AO2" s="2"/>
      <c r="AP2" s="2" t="s">
        <v>106</v>
      </c>
      <c r="AQ2" s="2" t="s">
        <v>107</v>
      </c>
    </row>
    <row r="3" spans="1:43" ht="28.8" x14ac:dyDescent="0.3">
      <c r="A3" s="2" t="s">
        <v>108</v>
      </c>
      <c r="B3" s="2" t="s">
        <v>109</v>
      </c>
      <c r="C3" s="2" t="s">
        <v>110</v>
      </c>
      <c r="D3" s="2" t="s">
        <v>111</v>
      </c>
      <c r="E3" s="2" t="s">
        <v>83</v>
      </c>
      <c r="F3" s="2" t="s">
        <v>112</v>
      </c>
      <c r="G3" s="2" t="s">
        <v>85</v>
      </c>
      <c r="H3" s="2"/>
      <c r="I3" s="2"/>
      <c r="J3" s="2">
        <v>9</v>
      </c>
      <c r="K3" s="2" t="s">
        <v>89</v>
      </c>
      <c r="L3" s="2" t="s">
        <v>87</v>
      </c>
      <c r="M3" s="2" t="s">
        <v>88</v>
      </c>
      <c r="N3" s="2">
        <v>2</v>
      </c>
      <c r="O3" s="2">
        <v>2</v>
      </c>
      <c r="P3" s="2">
        <v>4</v>
      </c>
      <c r="Q3" s="2" t="s">
        <v>113</v>
      </c>
      <c r="R3" s="2" t="s">
        <v>90</v>
      </c>
      <c r="S3" s="2" t="s">
        <v>91</v>
      </c>
      <c r="T3" s="2" t="s">
        <v>92</v>
      </c>
      <c r="U3" s="2" t="s">
        <v>93</v>
      </c>
      <c r="V3" s="2" t="s">
        <v>93</v>
      </c>
      <c r="W3" s="2" t="s">
        <v>94</v>
      </c>
      <c r="X3" s="2" t="s">
        <v>59</v>
      </c>
      <c r="Y3" s="2" t="s">
        <v>95</v>
      </c>
      <c r="Z3" s="2" t="s">
        <v>96</v>
      </c>
      <c r="AA3" s="2" t="s">
        <v>96</v>
      </c>
      <c r="AB3" s="2" t="s">
        <v>97</v>
      </c>
      <c r="AC3" s="2" t="s">
        <v>98</v>
      </c>
      <c r="AD3" s="2" t="s">
        <v>99</v>
      </c>
      <c r="AE3" s="2" t="s">
        <v>100</v>
      </c>
      <c r="AF3" s="2" t="s">
        <v>100</v>
      </c>
      <c r="AG3" s="2"/>
      <c r="AH3" s="2" t="s">
        <v>101</v>
      </c>
      <c r="AI3" s="2" t="s">
        <v>102</v>
      </c>
      <c r="AJ3" s="2" t="s">
        <v>100</v>
      </c>
      <c r="AK3" s="2" t="s">
        <v>100</v>
      </c>
      <c r="AL3" s="2" t="s">
        <v>114</v>
      </c>
      <c r="AM3" s="2" t="s">
        <v>104</v>
      </c>
      <c r="AN3" s="2" t="s">
        <v>105</v>
      </c>
      <c r="AO3" s="2"/>
      <c r="AP3" s="2" t="s">
        <v>106</v>
      </c>
      <c r="AQ3" s="2" t="s">
        <v>107</v>
      </c>
    </row>
    <row r="4" spans="1:43" ht="28.8" x14ac:dyDescent="0.3">
      <c r="A4" s="2" t="s">
        <v>115</v>
      </c>
      <c r="B4" s="2" t="s">
        <v>116</v>
      </c>
      <c r="C4" s="2" t="s">
        <v>117</v>
      </c>
      <c r="D4" s="2" t="s">
        <v>82</v>
      </c>
      <c r="E4" s="2" t="s">
        <v>83</v>
      </c>
      <c r="F4" s="2" t="s">
        <v>118</v>
      </c>
      <c r="G4" s="2" t="s">
        <v>85</v>
      </c>
      <c r="H4" s="2"/>
      <c r="I4" s="2"/>
      <c r="J4" s="2">
        <v>16</v>
      </c>
      <c r="K4" s="2" t="s">
        <v>86</v>
      </c>
      <c r="L4" s="2" t="s">
        <v>87</v>
      </c>
      <c r="M4" s="2" t="s">
        <v>88</v>
      </c>
      <c r="N4" s="2">
        <v>3</v>
      </c>
      <c r="O4" s="2">
        <v>3</v>
      </c>
      <c r="P4" s="2">
        <v>9</v>
      </c>
      <c r="Q4" s="2" t="s">
        <v>89</v>
      </c>
      <c r="R4" s="2" t="s">
        <v>90</v>
      </c>
      <c r="S4" s="2" t="s">
        <v>91</v>
      </c>
      <c r="T4" s="2" t="s">
        <v>92</v>
      </c>
      <c r="U4" s="2" t="s">
        <v>93</v>
      </c>
      <c r="V4" s="2" t="s">
        <v>93</v>
      </c>
      <c r="W4" s="2" t="s">
        <v>94</v>
      </c>
      <c r="X4" s="2" t="s">
        <v>59</v>
      </c>
      <c r="Y4" s="2" t="s">
        <v>95</v>
      </c>
      <c r="Z4" s="2" t="s">
        <v>96</v>
      </c>
      <c r="AA4" s="2" t="s">
        <v>96</v>
      </c>
      <c r="AB4" s="2" t="s">
        <v>97</v>
      </c>
      <c r="AC4" s="2" t="s">
        <v>98</v>
      </c>
      <c r="AD4" s="2" t="s">
        <v>99</v>
      </c>
      <c r="AE4" s="2" t="s">
        <v>100</v>
      </c>
      <c r="AF4" s="2" t="s">
        <v>100</v>
      </c>
      <c r="AG4" s="2"/>
      <c r="AH4" s="2" t="s">
        <v>101</v>
      </c>
      <c r="AI4" s="2" t="s">
        <v>102</v>
      </c>
      <c r="AJ4" s="2" t="s">
        <v>100</v>
      </c>
      <c r="AK4" s="2" t="s">
        <v>100</v>
      </c>
      <c r="AL4" s="2" t="s">
        <v>119</v>
      </c>
      <c r="AM4" s="2" t="s">
        <v>104</v>
      </c>
      <c r="AN4" s="2" t="s">
        <v>105</v>
      </c>
      <c r="AO4" s="2"/>
      <c r="AP4" s="2" t="s">
        <v>106</v>
      </c>
      <c r="AQ4" s="2" t="s">
        <v>107</v>
      </c>
    </row>
    <row r="5" spans="1:43" ht="28.8" x14ac:dyDescent="0.3">
      <c r="A5" s="2" t="s">
        <v>120</v>
      </c>
      <c r="B5" s="2" t="s">
        <v>121</v>
      </c>
      <c r="C5" s="2" t="s">
        <v>122</v>
      </c>
      <c r="D5" s="2" t="s">
        <v>111</v>
      </c>
      <c r="E5" s="2" t="s">
        <v>83</v>
      </c>
      <c r="F5" s="2" t="s">
        <v>123</v>
      </c>
      <c r="G5" s="2" t="s">
        <v>85</v>
      </c>
      <c r="H5" s="2"/>
      <c r="I5" s="2"/>
      <c r="J5" s="2">
        <v>9</v>
      </c>
      <c r="K5" s="2" t="s">
        <v>89</v>
      </c>
      <c r="L5" s="2" t="s">
        <v>87</v>
      </c>
      <c r="M5" s="2" t="s">
        <v>88</v>
      </c>
      <c r="N5" s="2">
        <v>2</v>
      </c>
      <c r="O5" s="2">
        <v>2</v>
      </c>
      <c r="P5" s="2">
        <v>4</v>
      </c>
      <c r="Q5" s="2" t="s">
        <v>113</v>
      </c>
      <c r="R5" s="2" t="s">
        <v>90</v>
      </c>
      <c r="S5" s="2" t="s">
        <v>91</v>
      </c>
      <c r="T5" s="2" t="s">
        <v>92</v>
      </c>
      <c r="U5" s="2" t="s">
        <v>93</v>
      </c>
      <c r="V5" s="2" t="s">
        <v>93</v>
      </c>
      <c r="W5" s="2" t="s">
        <v>94</v>
      </c>
      <c r="X5" s="2" t="s">
        <v>59</v>
      </c>
      <c r="Y5" s="2" t="s">
        <v>95</v>
      </c>
      <c r="Z5" s="2" t="s">
        <v>96</v>
      </c>
      <c r="AA5" s="2" t="s">
        <v>96</v>
      </c>
      <c r="AB5" s="2" t="s">
        <v>97</v>
      </c>
      <c r="AC5" s="2" t="s">
        <v>98</v>
      </c>
      <c r="AD5" s="2" t="s">
        <v>99</v>
      </c>
      <c r="AE5" s="2" t="s">
        <v>100</v>
      </c>
      <c r="AF5" s="2" t="s">
        <v>100</v>
      </c>
      <c r="AG5" s="2"/>
      <c r="AH5" s="2" t="s">
        <v>101</v>
      </c>
      <c r="AI5" s="2" t="s">
        <v>102</v>
      </c>
      <c r="AJ5" s="2" t="s">
        <v>100</v>
      </c>
      <c r="AK5" s="2" t="s">
        <v>100</v>
      </c>
      <c r="AL5" s="2" t="s">
        <v>124</v>
      </c>
      <c r="AM5" s="2" t="s">
        <v>104</v>
      </c>
      <c r="AN5" s="2" t="s">
        <v>105</v>
      </c>
      <c r="AO5" s="2"/>
      <c r="AP5" s="2" t="s">
        <v>106</v>
      </c>
      <c r="AQ5" s="2" t="s">
        <v>107</v>
      </c>
    </row>
    <row r="6" spans="1:43" ht="28.8" x14ac:dyDescent="0.3">
      <c r="A6" s="2" t="s">
        <v>125</v>
      </c>
      <c r="B6" s="2" t="s">
        <v>126</v>
      </c>
      <c r="C6" s="2" t="s">
        <v>127</v>
      </c>
      <c r="D6" s="2" t="s">
        <v>111</v>
      </c>
      <c r="E6" s="2" t="s">
        <v>83</v>
      </c>
      <c r="F6" s="2" t="s">
        <v>128</v>
      </c>
      <c r="G6" s="2" t="s">
        <v>85</v>
      </c>
      <c r="H6" s="2"/>
      <c r="I6" s="2"/>
      <c r="J6" s="2">
        <v>9</v>
      </c>
      <c r="K6" s="2" t="s">
        <v>89</v>
      </c>
      <c r="L6" s="2" t="s">
        <v>87</v>
      </c>
      <c r="M6" s="2" t="s">
        <v>88</v>
      </c>
      <c r="N6" s="2">
        <v>2</v>
      </c>
      <c r="O6" s="2">
        <v>2</v>
      </c>
      <c r="P6" s="2">
        <v>4</v>
      </c>
      <c r="Q6" s="2" t="s">
        <v>113</v>
      </c>
      <c r="R6" s="2" t="s">
        <v>90</v>
      </c>
      <c r="S6" s="2" t="s">
        <v>91</v>
      </c>
      <c r="T6" s="2" t="s">
        <v>92</v>
      </c>
      <c r="U6" s="2" t="s">
        <v>93</v>
      </c>
      <c r="V6" s="2" t="s">
        <v>93</v>
      </c>
      <c r="W6" s="2" t="s">
        <v>94</v>
      </c>
      <c r="X6" s="2" t="s">
        <v>59</v>
      </c>
      <c r="Y6" s="2" t="s">
        <v>95</v>
      </c>
      <c r="Z6" s="2" t="s">
        <v>96</v>
      </c>
      <c r="AA6" s="2" t="s">
        <v>96</v>
      </c>
      <c r="AB6" s="2" t="s">
        <v>97</v>
      </c>
      <c r="AC6" s="2" t="s">
        <v>98</v>
      </c>
      <c r="AD6" s="2" t="s">
        <v>99</v>
      </c>
      <c r="AE6" s="2" t="s">
        <v>100</v>
      </c>
      <c r="AF6" s="2" t="s">
        <v>100</v>
      </c>
      <c r="AG6" s="2"/>
      <c r="AH6" s="2" t="s">
        <v>101</v>
      </c>
      <c r="AI6" s="2" t="s">
        <v>102</v>
      </c>
      <c r="AJ6" s="2" t="s">
        <v>100</v>
      </c>
      <c r="AK6" s="2" t="s">
        <v>100</v>
      </c>
      <c r="AL6" s="2" t="s">
        <v>129</v>
      </c>
      <c r="AM6" s="2" t="s">
        <v>104</v>
      </c>
      <c r="AN6" s="2" t="s">
        <v>105</v>
      </c>
      <c r="AO6" s="2"/>
      <c r="AP6" s="2" t="s">
        <v>106</v>
      </c>
      <c r="AQ6" s="2" t="s">
        <v>107</v>
      </c>
    </row>
    <row r="7" spans="1:43" ht="28.8" x14ac:dyDescent="0.3">
      <c r="A7" s="2" t="s">
        <v>130</v>
      </c>
      <c r="B7" s="2" t="s">
        <v>131</v>
      </c>
      <c r="C7" s="2" t="s">
        <v>132</v>
      </c>
      <c r="D7" s="2" t="s">
        <v>111</v>
      </c>
      <c r="E7" s="2" t="s">
        <v>83</v>
      </c>
      <c r="F7" s="2" t="s">
        <v>133</v>
      </c>
      <c r="G7" s="2" t="s">
        <v>85</v>
      </c>
      <c r="H7" s="2"/>
      <c r="I7" s="2"/>
      <c r="J7" s="2">
        <v>9</v>
      </c>
      <c r="K7" s="2" t="s">
        <v>89</v>
      </c>
      <c r="L7" s="2" t="s">
        <v>87</v>
      </c>
      <c r="M7" s="2" t="s">
        <v>88</v>
      </c>
      <c r="N7" s="2">
        <v>2</v>
      </c>
      <c r="O7" s="2">
        <v>2</v>
      </c>
      <c r="P7" s="2">
        <v>4</v>
      </c>
      <c r="Q7" s="2" t="s">
        <v>113</v>
      </c>
      <c r="R7" s="2" t="s">
        <v>90</v>
      </c>
      <c r="S7" s="2" t="s">
        <v>91</v>
      </c>
      <c r="T7" s="2" t="s">
        <v>92</v>
      </c>
      <c r="U7" s="2" t="s">
        <v>93</v>
      </c>
      <c r="V7" s="2" t="s">
        <v>93</v>
      </c>
      <c r="W7" s="2" t="s">
        <v>94</v>
      </c>
      <c r="X7" s="2" t="s">
        <v>59</v>
      </c>
      <c r="Y7" s="2" t="s">
        <v>95</v>
      </c>
      <c r="Z7" s="2" t="s">
        <v>96</v>
      </c>
      <c r="AA7" s="2" t="s">
        <v>96</v>
      </c>
      <c r="AB7" s="2" t="s">
        <v>97</v>
      </c>
      <c r="AC7" s="2" t="s">
        <v>98</v>
      </c>
      <c r="AD7" s="2" t="s">
        <v>99</v>
      </c>
      <c r="AE7" s="2" t="s">
        <v>100</v>
      </c>
      <c r="AF7" s="2" t="s">
        <v>100</v>
      </c>
      <c r="AG7" s="2"/>
      <c r="AH7" s="2" t="s">
        <v>101</v>
      </c>
      <c r="AI7" s="2" t="s">
        <v>102</v>
      </c>
      <c r="AJ7" s="2" t="s">
        <v>100</v>
      </c>
      <c r="AK7" s="2" t="s">
        <v>100</v>
      </c>
      <c r="AL7" s="2" t="s">
        <v>134</v>
      </c>
      <c r="AM7" s="2" t="s">
        <v>104</v>
      </c>
      <c r="AN7" s="2" t="s">
        <v>105</v>
      </c>
      <c r="AO7" s="2"/>
      <c r="AP7" s="2" t="s">
        <v>106</v>
      </c>
      <c r="AQ7" s="2" t="s">
        <v>107</v>
      </c>
    </row>
    <row r="8" spans="1:43" ht="28.8" x14ac:dyDescent="0.3">
      <c r="A8" s="2" t="s">
        <v>135</v>
      </c>
      <c r="B8" s="2" t="s">
        <v>136</v>
      </c>
      <c r="C8" s="2" t="s">
        <v>137</v>
      </c>
      <c r="D8" s="2" t="s">
        <v>82</v>
      </c>
      <c r="E8" s="2" t="s">
        <v>83</v>
      </c>
      <c r="F8" s="2" t="s">
        <v>138</v>
      </c>
      <c r="G8" s="2" t="s">
        <v>85</v>
      </c>
      <c r="H8" s="2"/>
      <c r="I8" s="2"/>
      <c r="J8" s="2">
        <v>16</v>
      </c>
      <c r="K8" s="2" t="s">
        <v>86</v>
      </c>
      <c r="L8" s="2" t="s">
        <v>87</v>
      </c>
      <c r="M8" s="2" t="s">
        <v>88</v>
      </c>
      <c r="N8" s="2">
        <v>3</v>
      </c>
      <c r="O8" s="2">
        <v>3</v>
      </c>
      <c r="P8" s="2">
        <v>9</v>
      </c>
      <c r="Q8" s="2" t="s">
        <v>89</v>
      </c>
      <c r="R8" s="2" t="s">
        <v>90</v>
      </c>
      <c r="S8" s="2" t="s">
        <v>91</v>
      </c>
      <c r="T8" s="2" t="s">
        <v>92</v>
      </c>
      <c r="U8" s="2" t="s">
        <v>93</v>
      </c>
      <c r="V8" s="2" t="s">
        <v>93</v>
      </c>
      <c r="W8" s="2" t="s">
        <v>94</v>
      </c>
      <c r="X8" s="2" t="s">
        <v>59</v>
      </c>
      <c r="Y8" s="2" t="s">
        <v>95</v>
      </c>
      <c r="Z8" s="2" t="s">
        <v>96</v>
      </c>
      <c r="AA8" s="2" t="s">
        <v>96</v>
      </c>
      <c r="AB8" s="2" t="s">
        <v>97</v>
      </c>
      <c r="AC8" s="2" t="s">
        <v>98</v>
      </c>
      <c r="AD8" s="2" t="s">
        <v>99</v>
      </c>
      <c r="AE8" s="2" t="s">
        <v>100</v>
      </c>
      <c r="AF8" s="2" t="s">
        <v>100</v>
      </c>
      <c r="AG8" s="2"/>
      <c r="AH8" s="2" t="s">
        <v>101</v>
      </c>
      <c r="AI8" s="2" t="s">
        <v>102</v>
      </c>
      <c r="AJ8" s="2" t="s">
        <v>100</v>
      </c>
      <c r="AK8" s="2" t="s">
        <v>100</v>
      </c>
      <c r="AL8" s="2" t="s">
        <v>139</v>
      </c>
      <c r="AM8" s="2" t="s">
        <v>104</v>
      </c>
      <c r="AN8" s="2" t="s">
        <v>105</v>
      </c>
      <c r="AO8" s="2"/>
      <c r="AP8" s="2" t="s">
        <v>106</v>
      </c>
      <c r="AQ8" s="2" t="s">
        <v>107</v>
      </c>
    </row>
    <row r="9" spans="1:43" ht="28.8" x14ac:dyDescent="0.3">
      <c r="A9" s="2" t="s">
        <v>140</v>
      </c>
      <c r="B9" s="2" t="s">
        <v>141</v>
      </c>
      <c r="C9" s="2" t="s">
        <v>142</v>
      </c>
      <c r="D9" s="2" t="s">
        <v>111</v>
      </c>
      <c r="E9" s="2" t="s">
        <v>83</v>
      </c>
      <c r="F9" s="2" t="s">
        <v>143</v>
      </c>
      <c r="G9" s="2" t="s">
        <v>85</v>
      </c>
      <c r="H9" s="2"/>
      <c r="I9" s="2"/>
      <c r="J9" s="2">
        <v>9</v>
      </c>
      <c r="K9" s="2" t="s">
        <v>89</v>
      </c>
      <c r="L9" s="2" t="s">
        <v>87</v>
      </c>
      <c r="M9" s="2" t="s">
        <v>88</v>
      </c>
      <c r="N9" s="2">
        <v>2</v>
      </c>
      <c r="O9" s="2">
        <v>2</v>
      </c>
      <c r="P9" s="2">
        <v>4</v>
      </c>
      <c r="Q9" s="2" t="s">
        <v>113</v>
      </c>
      <c r="R9" s="2" t="s">
        <v>90</v>
      </c>
      <c r="S9" s="2" t="s">
        <v>91</v>
      </c>
      <c r="T9" s="2" t="s">
        <v>92</v>
      </c>
      <c r="U9" s="2" t="s">
        <v>93</v>
      </c>
      <c r="V9" s="2" t="s">
        <v>93</v>
      </c>
      <c r="W9" s="2" t="s">
        <v>94</v>
      </c>
      <c r="X9" s="2" t="s">
        <v>59</v>
      </c>
      <c r="Y9" s="2" t="s">
        <v>95</v>
      </c>
      <c r="Z9" s="2" t="s">
        <v>96</v>
      </c>
      <c r="AA9" s="2" t="s">
        <v>96</v>
      </c>
      <c r="AB9" s="2" t="s">
        <v>97</v>
      </c>
      <c r="AC9" s="2" t="s">
        <v>98</v>
      </c>
      <c r="AD9" s="2" t="s">
        <v>99</v>
      </c>
      <c r="AE9" s="2" t="s">
        <v>100</v>
      </c>
      <c r="AF9" s="2" t="s">
        <v>100</v>
      </c>
      <c r="AG9" s="2"/>
      <c r="AH9" s="2" t="s">
        <v>101</v>
      </c>
      <c r="AI9" s="2" t="s">
        <v>102</v>
      </c>
      <c r="AJ9" s="2" t="s">
        <v>100</v>
      </c>
      <c r="AK9" s="2" t="s">
        <v>100</v>
      </c>
      <c r="AL9" s="2" t="s">
        <v>144</v>
      </c>
      <c r="AM9" s="2" t="s">
        <v>104</v>
      </c>
      <c r="AN9" s="2" t="s">
        <v>105</v>
      </c>
      <c r="AO9" s="2"/>
      <c r="AP9" s="2" t="s">
        <v>106</v>
      </c>
      <c r="AQ9" s="2" t="s">
        <v>107</v>
      </c>
    </row>
    <row r="10" spans="1:43" ht="28.8" x14ac:dyDescent="0.3">
      <c r="A10" s="2" t="s">
        <v>145</v>
      </c>
      <c r="B10" s="2" t="s">
        <v>146</v>
      </c>
      <c r="C10" s="2" t="s">
        <v>147</v>
      </c>
      <c r="D10" s="2" t="s">
        <v>82</v>
      </c>
      <c r="E10" s="2" t="s">
        <v>83</v>
      </c>
      <c r="F10" s="2" t="s">
        <v>148</v>
      </c>
      <c r="G10" s="2" t="s">
        <v>85</v>
      </c>
      <c r="H10" s="2"/>
      <c r="I10" s="2"/>
      <c r="J10" s="2">
        <v>16</v>
      </c>
      <c r="K10" s="2" t="s">
        <v>86</v>
      </c>
      <c r="L10" s="2" t="s">
        <v>87</v>
      </c>
      <c r="M10" s="2" t="s">
        <v>88</v>
      </c>
      <c r="N10" s="2">
        <v>3</v>
      </c>
      <c r="O10" s="2">
        <v>3</v>
      </c>
      <c r="P10" s="2">
        <v>9</v>
      </c>
      <c r="Q10" s="2" t="s">
        <v>89</v>
      </c>
      <c r="R10" s="2" t="s">
        <v>90</v>
      </c>
      <c r="S10" s="2" t="s">
        <v>91</v>
      </c>
      <c r="T10" s="2" t="s">
        <v>92</v>
      </c>
      <c r="U10" s="2" t="s">
        <v>93</v>
      </c>
      <c r="V10" s="2" t="s">
        <v>93</v>
      </c>
      <c r="W10" s="2" t="s">
        <v>94</v>
      </c>
      <c r="X10" s="2" t="s">
        <v>59</v>
      </c>
      <c r="Y10" s="2" t="s">
        <v>95</v>
      </c>
      <c r="Z10" s="2" t="s">
        <v>96</v>
      </c>
      <c r="AA10" s="2" t="s">
        <v>96</v>
      </c>
      <c r="AB10" s="2" t="s">
        <v>97</v>
      </c>
      <c r="AC10" s="2" t="s">
        <v>98</v>
      </c>
      <c r="AD10" s="2" t="s">
        <v>99</v>
      </c>
      <c r="AE10" s="2" t="s">
        <v>100</v>
      </c>
      <c r="AF10" s="2" t="s">
        <v>100</v>
      </c>
      <c r="AG10" s="2"/>
      <c r="AH10" s="2" t="s">
        <v>101</v>
      </c>
      <c r="AI10" s="2" t="s">
        <v>102</v>
      </c>
      <c r="AJ10" s="2" t="s">
        <v>100</v>
      </c>
      <c r="AK10" s="2" t="s">
        <v>100</v>
      </c>
      <c r="AL10" s="2" t="s">
        <v>149</v>
      </c>
      <c r="AM10" s="2" t="s">
        <v>104</v>
      </c>
      <c r="AN10" s="2" t="s">
        <v>105</v>
      </c>
      <c r="AO10" s="2"/>
      <c r="AP10" s="2" t="s">
        <v>106</v>
      </c>
      <c r="AQ10" s="2" t="s">
        <v>107</v>
      </c>
    </row>
    <row r="11" spans="1:43" ht="28.8" x14ac:dyDescent="0.3">
      <c r="A11" s="2" t="s">
        <v>150</v>
      </c>
      <c r="B11" s="2" t="s">
        <v>151</v>
      </c>
      <c r="C11" s="2" t="s">
        <v>152</v>
      </c>
      <c r="D11" s="2" t="s">
        <v>111</v>
      </c>
      <c r="E11" s="2" t="s">
        <v>83</v>
      </c>
      <c r="F11" s="2" t="s">
        <v>153</v>
      </c>
      <c r="G11" s="2" t="s">
        <v>85</v>
      </c>
      <c r="H11" s="2"/>
      <c r="I11" s="2"/>
      <c r="J11" s="2">
        <v>9</v>
      </c>
      <c r="K11" s="2" t="s">
        <v>89</v>
      </c>
      <c r="L11" s="2" t="s">
        <v>87</v>
      </c>
      <c r="M11" s="2" t="s">
        <v>88</v>
      </c>
      <c r="N11" s="2">
        <v>2</v>
      </c>
      <c r="O11" s="2">
        <v>2</v>
      </c>
      <c r="P11" s="2">
        <v>4</v>
      </c>
      <c r="Q11" s="2" t="s">
        <v>113</v>
      </c>
      <c r="R11" s="2" t="s">
        <v>90</v>
      </c>
      <c r="S11" s="2" t="s">
        <v>91</v>
      </c>
      <c r="T11" s="2" t="s">
        <v>92</v>
      </c>
      <c r="U11" s="2" t="s">
        <v>93</v>
      </c>
      <c r="V11" s="2" t="s">
        <v>93</v>
      </c>
      <c r="W11" s="2" t="s">
        <v>94</v>
      </c>
      <c r="X11" s="2" t="s">
        <v>59</v>
      </c>
      <c r="Y11" s="2" t="s">
        <v>95</v>
      </c>
      <c r="Z11" s="2" t="s">
        <v>96</v>
      </c>
      <c r="AA11" s="2" t="s">
        <v>96</v>
      </c>
      <c r="AB11" s="2" t="s">
        <v>97</v>
      </c>
      <c r="AC11" s="2" t="s">
        <v>98</v>
      </c>
      <c r="AD11" s="2" t="s">
        <v>99</v>
      </c>
      <c r="AE11" s="2" t="s">
        <v>100</v>
      </c>
      <c r="AF11" s="2" t="s">
        <v>100</v>
      </c>
      <c r="AG11" s="2"/>
      <c r="AH11" s="2" t="s">
        <v>101</v>
      </c>
      <c r="AI11" s="2" t="s">
        <v>102</v>
      </c>
      <c r="AJ11" s="2" t="s">
        <v>100</v>
      </c>
      <c r="AK11" s="2" t="s">
        <v>100</v>
      </c>
      <c r="AL11" s="2" t="s">
        <v>154</v>
      </c>
      <c r="AM11" s="2" t="s">
        <v>104</v>
      </c>
      <c r="AN11" s="2" t="s">
        <v>105</v>
      </c>
      <c r="AO11" s="2"/>
      <c r="AP11" s="2" t="s">
        <v>106</v>
      </c>
      <c r="AQ11" s="2" t="s">
        <v>107</v>
      </c>
    </row>
    <row r="12" spans="1:43" ht="28.8" x14ac:dyDescent="0.3">
      <c r="A12" s="2" t="s">
        <v>155</v>
      </c>
      <c r="B12" s="2" t="s">
        <v>156</v>
      </c>
      <c r="C12" s="2" t="s">
        <v>157</v>
      </c>
      <c r="D12" s="2" t="s">
        <v>82</v>
      </c>
      <c r="E12" s="2" t="s">
        <v>83</v>
      </c>
      <c r="F12" s="2" t="s">
        <v>158</v>
      </c>
      <c r="G12" s="2" t="s">
        <v>85</v>
      </c>
      <c r="H12" s="2"/>
      <c r="I12" s="2"/>
      <c r="J12" s="2">
        <v>16</v>
      </c>
      <c r="K12" s="2" t="s">
        <v>86</v>
      </c>
      <c r="L12" s="2" t="s">
        <v>87</v>
      </c>
      <c r="M12" s="2" t="s">
        <v>88</v>
      </c>
      <c r="N12" s="2">
        <v>3</v>
      </c>
      <c r="O12" s="2">
        <v>3</v>
      </c>
      <c r="P12" s="2">
        <v>9</v>
      </c>
      <c r="Q12" s="2" t="s">
        <v>89</v>
      </c>
      <c r="R12" s="2" t="s">
        <v>90</v>
      </c>
      <c r="S12" s="2" t="s">
        <v>91</v>
      </c>
      <c r="T12" s="2" t="s">
        <v>92</v>
      </c>
      <c r="U12" s="2" t="s">
        <v>93</v>
      </c>
      <c r="V12" s="2" t="s">
        <v>93</v>
      </c>
      <c r="W12" s="2" t="s">
        <v>94</v>
      </c>
      <c r="X12" s="2" t="s">
        <v>59</v>
      </c>
      <c r="Y12" s="2" t="s">
        <v>95</v>
      </c>
      <c r="Z12" s="2" t="s">
        <v>96</v>
      </c>
      <c r="AA12" s="2" t="s">
        <v>96</v>
      </c>
      <c r="AB12" s="2" t="s">
        <v>97</v>
      </c>
      <c r="AC12" s="2" t="s">
        <v>98</v>
      </c>
      <c r="AD12" s="2" t="s">
        <v>99</v>
      </c>
      <c r="AE12" s="2" t="s">
        <v>100</v>
      </c>
      <c r="AF12" s="2" t="s">
        <v>100</v>
      </c>
      <c r="AG12" s="2"/>
      <c r="AH12" s="2" t="s">
        <v>101</v>
      </c>
      <c r="AI12" s="2" t="s">
        <v>102</v>
      </c>
      <c r="AJ12" s="2" t="s">
        <v>100</v>
      </c>
      <c r="AK12" s="2" t="s">
        <v>100</v>
      </c>
      <c r="AL12" s="2" t="s">
        <v>159</v>
      </c>
      <c r="AM12" s="2" t="s">
        <v>104</v>
      </c>
      <c r="AN12" s="2" t="s">
        <v>105</v>
      </c>
      <c r="AO12" s="2"/>
      <c r="AP12" s="2" t="s">
        <v>106</v>
      </c>
      <c r="AQ12" s="2" t="s">
        <v>107</v>
      </c>
    </row>
    <row r="13" spans="1:43" ht="28.8" x14ac:dyDescent="0.3">
      <c r="A13" s="2" t="s">
        <v>160</v>
      </c>
      <c r="B13" s="2" t="s">
        <v>161</v>
      </c>
      <c r="C13" s="2" t="s">
        <v>162</v>
      </c>
      <c r="D13" s="2" t="s">
        <v>111</v>
      </c>
      <c r="E13" s="2" t="s">
        <v>83</v>
      </c>
      <c r="F13" s="2" t="s">
        <v>163</v>
      </c>
      <c r="G13" s="2" t="s">
        <v>85</v>
      </c>
      <c r="H13" s="2"/>
      <c r="I13" s="2"/>
      <c r="J13" s="2">
        <v>9</v>
      </c>
      <c r="K13" s="2" t="s">
        <v>89</v>
      </c>
      <c r="L13" s="2" t="s">
        <v>87</v>
      </c>
      <c r="M13" s="2" t="s">
        <v>88</v>
      </c>
      <c r="N13" s="2">
        <v>2</v>
      </c>
      <c r="O13" s="2">
        <v>2</v>
      </c>
      <c r="P13" s="2">
        <v>4</v>
      </c>
      <c r="Q13" s="2" t="s">
        <v>113</v>
      </c>
      <c r="R13" s="2" t="s">
        <v>90</v>
      </c>
      <c r="S13" s="2" t="s">
        <v>91</v>
      </c>
      <c r="T13" s="2" t="s">
        <v>92</v>
      </c>
      <c r="U13" s="2" t="s">
        <v>93</v>
      </c>
      <c r="V13" s="2" t="s">
        <v>93</v>
      </c>
      <c r="W13" s="2" t="s">
        <v>94</v>
      </c>
      <c r="X13" s="2" t="s">
        <v>59</v>
      </c>
      <c r="Y13" s="2" t="s">
        <v>95</v>
      </c>
      <c r="Z13" s="2" t="s">
        <v>96</v>
      </c>
      <c r="AA13" s="2" t="s">
        <v>96</v>
      </c>
      <c r="AB13" s="2" t="s">
        <v>97</v>
      </c>
      <c r="AC13" s="2" t="s">
        <v>98</v>
      </c>
      <c r="AD13" s="2" t="s">
        <v>99</v>
      </c>
      <c r="AE13" s="2" t="s">
        <v>100</v>
      </c>
      <c r="AF13" s="2" t="s">
        <v>100</v>
      </c>
      <c r="AG13" s="2"/>
      <c r="AH13" s="2" t="s">
        <v>101</v>
      </c>
      <c r="AI13" s="2" t="s">
        <v>102</v>
      </c>
      <c r="AJ13" s="2" t="s">
        <v>100</v>
      </c>
      <c r="AK13" s="2" t="s">
        <v>100</v>
      </c>
      <c r="AL13" s="2" t="s">
        <v>164</v>
      </c>
      <c r="AM13" s="2" t="s">
        <v>104</v>
      </c>
      <c r="AN13" s="2" t="s">
        <v>105</v>
      </c>
      <c r="AO13" s="2"/>
      <c r="AP13" s="2" t="s">
        <v>106</v>
      </c>
      <c r="AQ13" s="2" t="s">
        <v>107</v>
      </c>
    </row>
    <row r="14" spans="1:43" ht="28.8" x14ac:dyDescent="0.3">
      <c r="A14" s="2" t="s">
        <v>165</v>
      </c>
      <c r="B14" s="2" t="s">
        <v>166</v>
      </c>
      <c r="C14" s="2" t="s">
        <v>167</v>
      </c>
      <c r="D14" s="2" t="s">
        <v>111</v>
      </c>
      <c r="E14" s="2" t="s">
        <v>83</v>
      </c>
      <c r="F14" s="2" t="s">
        <v>168</v>
      </c>
      <c r="G14" s="2" t="s">
        <v>85</v>
      </c>
      <c r="H14" s="2"/>
      <c r="I14" s="2"/>
      <c r="J14" s="2">
        <v>9</v>
      </c>
      <c r="K14" s="2" t="s">
        <v>89</v>
      </c>
      <c r="L14" s="2" t="s">
        <v>87</v>
      </c>
      <c r="M14" s="2" t="s">
        <v>88</v>
      </c>
      <c r="N14" s="2">
        <v>2</v>
      </c>
      <c r="O14" s="2">
        <v>2</v>
      </c>
      <c r="P14" s="2">
        <v>4</v>
      </c>
      <c r="Q14" s="2" t="s">
        <v>113</v>
      </c>
      <c r="R14" s="2" t="s">
        <v>90</v>
      </c>
      <c r="S14" s="2" t="s">
        <v>91</v>
      </c>
      <c r="T14" s="2" t="s">
        <v>92</v>
      </c>
      <c r="U14" s="2" t="s">
        <v>93</v>
      </c>
      <c r="V14" s="2" t="s">
        <v>93</v>
      </c>
      <c r="W14" s="2" t="s">
        <v>94</v>
      </c>
      <c r="X14" s="2" t="s">
        <v>59</v>
      </c>
      <c r="Y14" s="2" t="s">
        <v>95</v>
      </c>
      <c r="Z14" s="2" t="s">
        <v>96</v>
      </c>
      <c r="AA14" s="2" t="s">
        <v>96</v>
      </c>
      <c r="AB14" s="2" t="s">
        <v>97</v>
      </c>
      <c r="AC14" s="2" t="s">
        <v>98</v>
      </c>
      <c r="AD14" s="2" t="s">
        <v>99</v>
      </c>
      <c r="AE14" s="2" t="s">
        <v>100</v>
      </c>
      <c r="AF14" s="2" t="s">
        <v>100</v>
      </c>
      <c r="AG14" s="2"/>
      <c r="AH14" s="2" t="s">
        <v>101</v>
      </c>
      <c r="AI14" s="2" t="s">
        <v>102</v>
      </c>
      <c r="AJ14" s="2" t="s">
        <v>100</v>
      </c>
      <c r="AK14" s="2" t="s">
        <v>100</v>
      </c>
      <c r="AL14" s="2" t="s">
        <v>169</v>
      </c>
      <c r="AM14" s="2" t="s">
        <v>104</v>
      </c>
      <c r="AN14" s="2" t="s">
        <v>105</v>
      </c>
      <c r="AO14" s="2"/>
      <c r="AP14" s="2" t="s">
        <v>106</v>
      </c>
      <c r="AQ14" s="2" t="s">
        <v>107</v>
      </c>
    </row>
    <row r="15" spans="1:43" ht="28.8" x14ac:dyDescent="0.3">
      <c r="A15" s="2" t="s">
        <v>170</v>
      </c>
      <c r="B15" s="2" t="s">
        <v>171</v>
      </c>
      <c r="C15" s="2" t="s">
        <v>172</v>
      </c>
      <c r="D15" s="2" t="s">
        <v>82</v>
      </c>
      <c r="E15" s="2" t="s">
        <v>83</v>
      </c>
      <c r="F15" s="2" t="s">
        <v>173</v>
      </c>
      <c r="G15" s="2" t="s">
        <v>85</v>
      </c>
      <c r="H15" s="2"/>
      <c r="I15" s="2"/>
      <c r="J15" s="2">
        <v>16</v>
      </c>
      <c r="K15" s="2" t="s">
        <v>86</v>
      </c>
      <c r="L15" s="2" t="s">
        <v>87</v>
      </c>
      <c r="M15" s="2" t="s">
        <v>88</v>
      </c>
      <c r="N15" s="2">
        <v>3</v>
      </c>
      <c r="O15" s="2">
        <v>3</v>
      </c>
      <c r="P15" s="2">
        <v>9</v>
      </c>
      <c r="Q15" s="2" t="s">
        <v>89</v>
      </c>
      <c r="R15" s="2" t="s">
        <v>90</v>
      </c>
      <c r="S15" s="2" t="s">
        <v>91</v>
      </c>
      <c r="T15" s="2" t="s">
        <v>92</v>
      </c>
      <c r="U15" s="2" t="s">
        <v>93</v>
      </c>
      <c r="V15" s="2" t="s">
        <v>93</v>
      </c>
      <c r="W15" s="2" t="s">
        <v>94</v>
      </c>
      <c r="X15" s="2" t="s">
        <v>59</v>
      </c>
      <c r="Y15" s="2" t="s">
        <v>95</v>
      </c>
      <c r="Z15" s="2" t="s">
        <v>96</v>
      </c>
      <c r="AA15" s="2" t="s">
        <v>96</v>
      </c>
      <c r="AB15" s="2" t="s">
        <v>97</v>
      </c>
      <c r="AC15" s="2" t="s">
        <v>98</v>
      </c>
      <c r="AD15" s="2" t="s">
        <v>99</v>
      </c>
      <c r="AE15" s="2" t="s">
        <v>100</v>
      </c>
      <c r="AF15" s="2" t="s">
        <v>100</v>
      </c>
      <c r="AG15" s="2"/>
      <c r="AH15" s="2" t="s">
        <v>101</v>
      </c>
      <c r="AI15" s="2" t="s">
        <v>102</v>
      </c>
      <c r="AJ15" s="2" t="s">
        <v>100</v>
      </c>
      <c r="AK15" s="2" t="s">
        <v>100</v>
      </c>
      <c r="AL15" s="2" t="s">
        <v>174</v>
      </c>
      <c r="AM15" s="2" t="s">
        <v>104</v>
      </c>
      <c r="AN15" s="2" t="s">
        <v>105</v>
      </c>
      <c r="AO15" s="2"/>
      <c r="AP15" s="2" t="s">
        <v>106</v>
      </c>
      <c r="AQ15" s="2" t="s">
        <v>107</v>
      </c>
    </row>
    <row r="16" spans="1:43" ht="28.8" x14ac:dyDescent="0.3">
      <c r="A16" s="2" t="s">
        <v>175</v>
      </c>
      <c r="B16" s="2" t="s">
        <v>176</v>
      </c>
      <c r="C16" s="2" t="s">
        <v>177</v>
      </c>
      <c r="D16" s="2" t="s">
        <v>82</v>
      </c>
      <c r="E16" s="2" t="s">
        <v>83</v>
      </c>
      <c r="F16" s="2" t="s">
        <v>178</v>
      </c>
      <c r="G16" s="2" t="s">
        <v>85</v>
      </c>
      <c r="H16" s="2"/>
      <c r="I16" s="2"/>
      <c r="J16" s="2">
        <v>16</v>
      </c>
      <c r="K16" s="2" t="s">
        <v>86</v>
      </c>
      <c r="L16" s="2" t="s">
        <v>87</v>
      </c>
      <c r="M16" s="2" t="s">
        <v>88</v>
      </c>
      <c r="N16" s="2">
        <v>3</v>
      </c>
      <c r="O16" s="2">
        <v>3</v>
      </c>
      <c r="P16" s="2">
        <v>9</v>
      </c>
      <c r="Q16" s="2" t="s">
        <v>89</v>
      </c>
      <c r="R16" s="2" t="s">
        <v>90</v>
      </c>
      <c r="S16" s="2" t="s">
        <v>91</v>
      </c>
      <c r="T16" s="2" t="s">
        <v>92</v>
      </c>
      <c r="U16" s="2" t="s">
        <v>93</v>
      </c>
      <c r="V16" s="2" t="s">
        <v>93</v>
      </c>
      <c r="W16" s="2" t="s">
        <v>94</v>
      </c>
      <c r="X16" s="2" t="s">
        <v>59</v>
      </c>
      <c r="Y16" s="2" t="s">
        <v>95</v>
      </c>
      <c r="Z16" s="2" t="s">
        <v>96</v>
      </c>
      <c r="AA16" s="2" t="s">
        <v>96</v>
      </c>
      <c r="AB16" s="2" t="s">
        <v>97</v>
      </c>
      <c r="AC16" s="2" t="s">
        <v>98</v>
      </c>
      <c r="AD16" s="2" t="s">
        <v>99</v>
      </c>
      <c r="AE16" s="2" t="s">
        <v>100</v>
      </c>
      <c r="AF16" s="2" t="s">
        <v>100</v>
      </c>
      <c r="AG16" s="2"/>
      <c r="AH16" s="2" t="s">
        <v>101</v>
      </c>
      <c r="AI16" s="2" t="s">
        <v>102</v>
      </c>
      <c r="AJ16" s="2" t="s">
        <v>100</v>
      </c>
      <c r="AK16" s="2" t="s">
        <v>100</v>
      </c>
      <c r="AL16" s="2" t="s">
        <v>179</v>
      </c>
      <c r="AM16" s="2" t="s">
        <v>104</v>
      </c>
      <c r="AN16" s="2" t="s">
        <v>105</v>
      </c>
      <c r="AO16" s="2"/>
      <c r="AP16" s="2" t="s">
        <v>106</v>
      </c>
      <c r="AQ16" s="2" t="s">
        <v>107</v>
      </c>
    </row>
    <row r="17" spans="1:43" ht="28.8" x14ac:dyDescent="0.3">
      <c r="A17" s="2" t="s">
        <v>180</v>
      </c>
      <c r="B17" s="2" t="s">
        <v>181</v>
      </c>
      <c r="C17" s="2" t="s">
        <v>182</v>
      </c>
      <c r="D17" s="2" t="s">
        <v>183</v>
      </c>
      <c r="E17" s="2" t="s">
        <v>83</v>
      </c>
      <c r="F17" s="2" t="s">
        <v>184</v>
      </c>
      <c r="G17" s="2" t="s">
        <v>85</v>
      </c>
      <c r="H17" s="2"/>
      <c r="I17" s="2"/>
      <c r="J17" s="2">
        <v>4</v>
      </c>
      <c r="K17" s="2" t="s">
        <v>113</v>
      </c>
      <c r="L17" s="2" t="s">
        <v>87</v>
      </c>
      <c r="M17" s="2" t="s">
        <v>88</v>
      </c>
      <c r="N17" s="2">
        <v>1</v>
      </c>
      <c r="O17" s="2">
        <v>1</v>
      </c>
      <c r="P17" s="2">
        <v>1</v>
      </c>
      <c r="Q17" s="2" t="s">
        <v>113</v>
      </c>
      <c r="R17" s="2" t="s">
        <v>90</v>
      </c>
      <c r="S17" s="2" t="s">
        <v>91</v>
      </c>
      <c r="T17" s="2" t="s">
        <v>92</v>
      </c>
      <c r="U17" s="2" t="s">
        <v>93</v>
      </c>
      <c r="V17" s="2" t="s">
        <v>93</v>
      </c>
      <c r="W17" s="2" t="s">
        <v>94</v>
      </c>
      <c r="X17" s="2" t="s">
        <v>59</v>
      </c>
      <c r="Y17" s="2" t="s">
        <v>95</v>
      </c>
      <c r="Z17" s="2" t="s">
        <v>96</v>
      </c>
      <c r="AA17" s="2" t="s">
        <v>96</v>
      </c>
      <c r="AB17" s="2" t="s">
        <v>97</v>
      </c>
      <c r="AC17" s="2" t="s">
        <v>98</v>
      </c>
      <c r="AD17" s="2" t="s">
        <v>99</v>
      </c>
      <c r="AE17" s="2" t="s">
        <v>100</v>
      </c>
      <c r="AF17" s="2" t="s">
        <v>100</v>
      </c>
      <c r="AG17" s="2"/>
      <c r="AH17" s="2" t="s">
        <v>101</v>
      </c>
      <c r="AI17" s="2" t="s">
        <v>102</v>
      </c>
      <c r="AJ17" s="2" t="s">
        <v>100</v>
      </c>
      <c r="AK17" s="2" t="s">
        <v>100</v>
      </c>
      <c r="AL17" s="2" t="s">
        <v>185</v>
      </c>
      <c r="AM17" s="2" t="s">
        <v>104</v>
      </c>
      <c r="AN17" s="2" t="s">
        <v>105</v>
      </c>
      <c r="AO17" s="2"/>
      <c r="AP17" s="2" t="s">
        <v>106</v>
      </c>
      <c r="AQ17" s="2" t="s">
        <v>107</v>
      </c>
    </row>
    <row r="18" spans="1:43" ht="28.8" x14ac:dyDescent="0.3">
      <c r="A18" s="2" t="s">
        <v>186</v>
      </c>
      <c r="B18" s="2" t="s">
        <v>187</v>
      </c>
      <c r="C18" s="2" t="s">
        <v>188</v>
      </c>
      <c r="D18" s="2" t="s">
        <v>111</v>
      </c>
      <c r="E18" s="2" t="s">
        <v>83</v>
      </c>
      <c r="F18" s="2" t="s">
        <v>189</v>
      </c>
      <c r="G18" s="2" t="s">
        <v>85</v>
      </c>
      <c r="H18" s="2"/>
      <c r="I18" s="2"/>
      <c r="J18" s="2">
        <v>9</v>
      </c>
      <c r="K18" s="2" t="s">
        <v>89</v>
      </c>
      <c r="L18" s="2" t="s">
        <v>87</v>
      </c>
      <c r="M18" s="2" t="s">
        <v>88</v>
      </c>
      <c r="N18" s="2">
        <v>2</v>
      </c>
      <c r="O18" s="2">
        <v>2</v>
      </c>
      <c r="P18" s="2">
        <v>4</v>
      </c>
      <c r="Q18" s="2" t="s">
        <v>113</v>
      </c>
      <c r="R18" s="2" t="s">
        <v>90</v>
      </c>
      <c r="S18" s="2" t="s">
        <v>91</v>
      </c>
      <c r="T18" s="2" t="s">
        <v>92</v>
      </c>
      <c r="U18" s="2" t="s">
        <v>93</v>
      </c>
      <c r="V18" s="2" t="s">
        <v>93</v>
      </c>
      <c r="W18" s="2" t="s">
        <v>94</v>
      </c>
      <c r="X18" s="2" t="s">
        <v>59</v>
      </c>
      <c r="Y18" s="2" t="s">
        <v>95</v>
      </c>
      <c r="Z18" s="2" t="s">
        <v>96</v>
      </c>
      <c r="AA18" s="2" t="s">
        <v>96</v>
      </c>
      <c r="AB18" s="2" t="s">
        <v>97</v>
      </c>
      <c r="AC18" s="2" t="s">
        <v>98</v>
      </c>
      <c r="AD18" s="2" t="s">
        <v>99</v>
      </c>
      <c r="AE18" s="2" t="s">
        <v>100</v>
      </c>
      <c r="AF18" s="2" t="s">
        <v>100</v>
      </c>
      <c r="AG18" s="2"/>
      <c r="AH18" s="2" t="s">
        <v>101</v>
      </c>
      <c r="AI18" s="2" t="s">
        <v>102</v>
      </c>
      <c r="AJ18" s="2" t="s">
        <v>100</v>
      </c>
      <c r="AK18" s="2" t="s">
        <v>100</v>
      </c>
      <c r="AL18" s="2" t="s">
        <v>190</v>
      </c>
      <c r="AM18" s="2" t="s">
        <v>104</v>
      </c>
      <c r="AN18" s="2" t="s">
        <v>105</v>
      </c>
      <c r="AO18" s="2"/>
      <c r="AP18" s="2" t="s">
        <v>106</v>
      </c>
      <c r="AQ18" s="2" t="s">
        <v>107</v>
      </c>
    </row>
    <row r="19" spans="1:43" ht="28.8" x14ac:dyDescent="0.3">
      <c r="A19" s="2" t="s">
        <v>191</v>
      </c>
      <c r="B19" s="2" t="s">
        <v>192</v>
      </c>
      <c r="C19" s="2" t="s">
        <v>193</v>
      </c>
      <c r="D19" s="2" t="s">
        <v>183</v>
      </c>
      <c r="E19" s="2" t="s">
        <v>83</v>
      </c>
      <c r="F19" s="2" t="s">
        <v>194</v>
      </c>
      <c r="G19" s="2" t="s">
        <v>85</v>
      </c>
      <c r="H19" s="2"/>
      <c r="I19" s="2"/>
      <c r="J19" s="2">
        <v>4</v>
      </c>
      <c r="K19" s="2" t="s">
        <v>113</v>
      </c>
      <c r="L19" s="2" t="s">
        <v>87</v>
      </c>
      <c r="M19" s="2" t="s">
        <v>88</v>
      </c>
      <c r="N19" s="2">
        <v>1</v>
      </c>
      <c r="O19" s="2">
        <v>1</v>
      </c>
      <c r="P19" s="2">
        <v>1</v>
      </c>
      <c r="Q19" s="2" t="s">
        <v>113</v>
      </c>
      <c r="R19" s="2" t="s">
        <v>90</v>
      </c>
      <c r="S19" s="2" t="s">
        <v>91</v>
      </c>
      <c r="T19" s="2" t="s">
        <v>92</v>
      </c>
      <c r="U19" s="2" t="s">
        <v>93</v>
      </c>
      <c r="V19" s="2" t="s">
        <v>93</v>
      </c>
      <c r="W19" s="2" t="s">
        <v>94</v>
      </c>
      <c r="X19" s="2" t="s">
        <v>59</v>
      </c>
      <c r="Y19" s="2" t="s">
        <v>95</v>
      </c>
      <c r="Z19" s="2" t="s">
        <v>96</v>
      </c>
      <c r="AA19" s="2" t="s">
        <v>96</v>
      </c>
      <c r="AB19" s="2" t="s">
        <v>97</v>
      </c>
      <c r="AC19" s="2" t="s">
        <v>98</v>
      </c>
      <c r="AD19" s="2" t="s">
        <v>99</v>
      </c>
      <c r="AE19" s="2" t="s">
        <v>100</v>
      </c>
      <c r="AF19" s="2" t="s">
        <v>100</v>
      </c>
      <c r="AG19" s="2"/>
      <c r="AH19" s="2" t="s">
        <v>101</v>
      </c>
      <c r="AI19" s="2" t="s">
        <v>102</v>
      </c>
      <c r="AJ19" s="2" t="s">
        <v>100</v>
      </c>
      <c r="AK19" s="2" t="s">
        <v>100</v>
      </c>
      <c r="AL19" s="2" t="s">
        <v>195</v>
      </c>
      <c r="AM19" s="2" t="s">
        <v>104</v>
      </c>
      <c r="AN19" s="2" t="s">
        <v>105</v>
      </c>
      <c r="AO19" s="2"/>
      <c r="AP19" s="2" t="s">
        <v>106</v>
      </c>
      <c r="AQ19" s="2" t="s">
        <v>107</v>
      </c>
    </row>
    <row r="20" spans="1:43" ht="28.8" x14ac:dyDescent="0.3">
      <c r="A20" s="2" t="s">
        <v>196</v>
      </c>
      <c r="B20" s="2" t="s">
        <v>197</v>
      </c>
      <c r="C20" s="2" t="s">
        <v>198</v>
      </c>
      <c r="D20" s="2" t="s">
        <v>183</v>
      </c>
      <c r="E20" s="2" t="s">
        <v>83</v>
      </c>
      <c r="F20" s="2" t="s">
        <v>199</v>
      </c>
      <c r="G20" s="2" t="s">
        <v>85</v>
      </c>
      <c r="H20" s="2"/>
      <c r="I20" s="2"/>
      <c r="J20" s="2">
        <v>4</v>
      </c>
      <c r="K20" s="2" t="s">
        <v>113</v>
      </c>
      <c r="L20" s="2" t="s">
        <v>87</v>
      </c>
      <c r="M20" s="2" t="s">
        <v>88</v>
      </c>
      <c r="N20" s="2">
        <v>1</v>
      </c>
      <c r="O20" s="2">
        <v>1</v>
      </c>
      <c r="P20" s="2">
        <v>1</v>
      </c>
      <c r="Q20" s="2" t="s">
        <v>113</v>
      </c>
      <c r="R20" s="2" t="s">
        <v>90</v>
      </c>
      <c r="S20" s="2" t="s">
        <v>91</v>
      </c>
      <c r="T20" s="2" t="s">
        <v>92</v>
      </c>
      <c r="U20" s="2" t="s">
        <v>93</v>
      </c>
      <c r="V20" s="2" t="s">
        <v>93</v>
      </c>
      <c r="W20" s="2" t="s">
        <v>94</v>
      </c>
      <c r="X20" s="2" t="s">
        <v>59</v>
      </c>
      <c r="Y20" s="2" t="s">
        <v>95</v>
      </c>
      <c r="Z20" s="2" t="s">
        <v>96</v>
      </c>
      <c r="AA20" s="2" t="s">
        <v>96</v>
      </c>
      <c r="AB20" s="2" t="s">
        <v>97</v>
      </c>
      <c r="AC20" s="2" t="s">
        <v>98</v>
      </c>
      <c r="AD20" s="2" t="s">
        <v>99</v>
      </c>
      <c r="AE20" s="2" t="s">
        <v>100</v>
      </c>
      <c r="AF20" s="2" t="s">
        <v>100</v>
      </c>
      <c r="AG20" s="2"/>
      <c r="AH20" s="2" t="s">
        <v>101</v>
      </c>
      <c r="AI20" s="2" t="s">
        <v>102</v>
      </c>
      <c r="AJ20" s="2" t="s">
        <v>100</v>
      </c>
      <c r="AK20" s="2" t="s">
        <v>100</v>
      </c>
      <c r="AL20" s="2" t="s">
        <v>200</v>
      </c>
      <c r="AM20" s="2" t="s">
        <v>104</v>
      </c>
      <c r="AN20" s="2" t="s">
        <v>105</v>
      </c>
      <c r="AO20" s="2"/>
      <c r="AP20" s="2" t="s">
        <v>106</v>
      </c>
      <c r="AQ20" s="2" t="s">
        <v>107</v>
      </c>
    </row>
    <row r="21" spans="1:43" ht="28.8" x14ac:dyDescent="0.3">
      <c r="A21" s="2" t="s">
        <v>201</v>
      </c>
      <c r="B21" s="2" t="s">
        <v>202</v>
      </c>
      <c r="C21" s="2" t="s">
        <v>203</v>
      </c>
      <c r="D21" s="2" t="s">
        <v>183</v>
      </c>
      <c r="E21" s="2" t="s">
        <v>83</v>
      </c>
      <c r="F21" s="2" t="s">
        <v>204</v>
      </c>
      <c r="G21" s="2" t="s">
        <v>85</v>
      </c>
      <c r="H21" s="2"/>
      <c r="I21" s="2"/>
      <c r="J21" s="2">
        <v>4</v>
      </c>
      <c r="K21" s="2" t="s">
        <v>113</v>
      </c>
      <c r="L21" s="2" t="s">
        <v>87</v>
      </c>
      <c r="M21" s="2" t="s">
        <v>88</v>
      </c>
      <c r="N21" s="2">
        <v>1</v>
      </c>
      <c r="O21" s="2">
        <v>1</v>
      </c>
      <c r="P21" s="2">
        <v>1</v>
      </c>
      <c r="Q21" s="2" t="s">
        <v>113</v>
      </c>
      <c r="R21" s="2" t="s">
        <v>90</v>
      </c>
      <c r="S21" s="2" t="s">
        <v>91</v>
      </c>
      <c r="T21" s="2" t="s">
        <v>92</v>
      </c>
      <c r="U21" s="2" t="s">
        <v>93</v>
      </c>
      <c r="V21" s="2" t="s">
        <v>93</v>
      </c>
      <c r="W21" s="2" t="s">
        <v>94</v>
      </c>
      <c r="X21" s="2" t="s">
        <v>59</v>
      </c>
      <c r="Y21" s="2" t="s">
        <v>95</v>
      </c>
      <c r="Z21" s="2" t="s">
        <v>96</v>
      </c>
      <c r="AA21" s="2" t="s">
        <v>96</v>
      </c>
      <c r="AB21" s="2" t="s">
        <v>97</v>
      </c>
      <c r="AC21" s="2" t="s">
        <v>98</v>
      </c>
      <c r="AD21" s="2" t="s">
        <v>99</v>
      </c>
      <c r="AE21" s="2" t="s">
        <v>100</v>
      </c>
      <c r="AF21" s="2" t="s">
        <v>100</v>
      </c>
      <c r="AG21" s="2"/>
      <c r="AH21" s="2" t="s">
        <v>101</v>
      </c>
      <c r="AI21" s="2" t="s">
        <v>102</v>
      </c>
      <c r="AJ21" s="2" t="s">
        <v>100</v>
      </c>
      <c r="AK21" s="2" t="s">
        <v>100</v>
      </c>
      <c r="AL21" s="2" t="s">
        <v>205</v>
      </c>
      <c r="AM21" s="2" t="s">
        <v>104</v>
      </c>
      <c r="AN21" s="2" t="s">
        <v>105</v>
      </c>
      <c r="AO21" s="2"/>
      <c r="AP21" s="2" t="s">
        <v>106</v>
      </c>
      <c r="AQ21" s="2" t="s">
        <v>107</v>
      </c>
    </row>
    <row r="22" spans="1:43" ht="28.8" x14ac:dyDescent="0.3">
      <c r="A22" s="2" t="s">
        <v>206</v>
      </c>
      <c r="B22" s="2" t="s">
        <v>207</v>
      </c>
      <c r="C22" s="2" t="s">
        <v>208</v>
      </c>
      <c r="D22" s="2" t="s">
        <v>183</v>
      </c>
      <c r="E22" s="2" t="s">
        <v>83</v>
      </c>
      <c r="F22" s="2" t="s">
        <v>209</v>
      </c>
      <c r="G22" s="2" t="s">
        <v>85</v>
      </c>
      <c r="H22" s="2"/>
      <c r="I22" s="2"/>
      <c r="J22" s="2">
        <v>4</v>
      </c>
      <c r="K22" s="2" t="s">
        <v>113</v>
      </c>
      <c r="L22" s="2" t="s">
        <v>87</v>
      </c>
      <c r="M22" s="2" t="s">
        <v>88</v>
      </c>
      <c r="N22" s="2">
        <v>1</v>
      </c>
      <c r="O22" s="2">
        <v>1</v>
      </c>
      <c r="P22" s="2">
        <v>1</v>
      </c>
      <c r="Q22" s="2" t="s">
        <v>113</v>
      </c>
      <c r="R22" s="2" t="s">
        <v>90</v>
      </c>
      <c r="S22" s="2" t="s">
        <v>91</v>
      </c>
      <c r="T22" s="2" t="s">
        <v>92</v>
      </c>
      <c r="U22" s="2" t="s">
        <v>93</v>
      </c>
      <c r="V22" s="2" t="s">
        <v>93</v>
      </c>
      <c r="W22" s="2" t="s">
        <v>94</v>
      </c>
      <c r="X22" s="2" t="s">
        <v>59</v>
      </c>
      <c r="Y22" s="2" t="s">
        <v>95</v>
      </c>
      <c r="Z22" s="2" t="s">
        <v>96</v>
      </c>
      <c r="AA22" s="2" t="s">
        <v>96</v>
      </c>
      <c r="AB22" s="2" t="s">
        <v>97</v>
      </c>
      <c r="AC22" s="2" t="s">
        <v>98</v>
      </c>
      <c r="AD22" s="2" t="s">
        <v>99</v>
      </c>
      <c r="AE22" s="2" t="s">
        <v>100</v>
      </c>
      <c r="AF22" s="2" t="s">
        <v>100</v>
      </c>
      <c r="AG22" s="2"/>
      <c r="AH22" s="2" t="s">
        <v>101</v>
      </c>
      <c r="AI22" s="2" t="s">
        <v>102</v>
      </c>
      <c r="AJ22" s="2" t="s">
        <v>100</v>
      </c>
      <c r="AK22" s="2" t="s">
        <v>100</v>
      </c>
      <c r="AL22" s="2" t="s">
        <v>210</v>
      </c>
      <c r="AM22" s="2" t="s">
        <v>104</v>
      </c>
      <c r="AN22" s="2" t="s">
        <v>105</v>
      </c>
      <c r="AO22" s="2"/>
      <c r="AP22" s="2" t="s">
        <v>106</v>
      </c>
      <c r="AQ22" s="2" t="s">
        <v>107</v>
      </c>
    </row>
    <row r="23" spans="1:43" ht="28.8" x14ac:dyDescent="0.3">
      <c r="A23" s="2" t="s">
        <v>211</v>
      </c>
      <c r="B23" s="2" t="s">
        <v>212</v>
      </c>
      <c r="C23" s="2" t="s">
        <v>213</v>
      </c>
      <c r="D23" s="2" t="s">
        <v>183</v>
      </c>
      <c r="E23" s="2" t="s">
        <v>83</v>
      </c>
      <c r="F23" s="2" t="s">
        <v>214</v>
      </c>
      <c r="G23" s="2" t="s">
        <v>85</v>
      </c>
      <c r="H23" s="2"/>
      <c r="I23" s="2"/>
      <c r="J23" s="2">
        <v>4</v>
      </c>
      <c r="K23" s="2" t="s">
        <v>113</v>
      </c>
      <c r="L23" s="2" t="s">
        <v>87</v>
      </c>
      <c r="M23" s="2" t="s">
        <v>88</v>
      </c>
      <c r="N23" s="2">
        <v>1</v>
      </c>
      <c r="O23" s="2">
        <v>1</v>
      </c>
      <c r="P23" s="2">
        <v>1</v>
      </c>
      <c r="Q23" s="2" t="s">
        <v>113</v>
      </c>
      <c r="R23" s="2" t="s">
        <v>90</v>
      </c>
      <c r="S23" s="2" t="s">
        <v>91</v>
      </c>
      <c r="T23" s="2" t="s">
        <v>92</v>
      </c>
      <c r="U23" s="2" t="s">
        <v>93</v>
      </c>
      <c r="V23" s="2" t="s">
        <v>93</v>
      </c>
      <c r="W23" s="2" t="s">
        <v>94</v>
      </c>
      <c r="X23" s="2" t="s">
        <v>59</v>
      </c>
      <c r="Y23" s="2" t="s">
        <v>95</v>
      </c>
      <c r="Z23" s="2" t="s">
        <v>96</v>
      </c>
      <c r="AA23" s="2" t="s">
        <v>96</v>
      </c>
      <c r="AB23" s="2" t="s">
        <v>97</v>
      </c>
      <c r="AC23" s="2" t="s">
        <v>98</v>
      </c>
      <c r="AD23" s="2" t="s">
        <v>99</v>
      </c>
      <c r="AE23" s="2" t="s">
        <v>100</v>
      </c>
      <c r="AF23" s="2" t="s">
        <v>100</v>
      </c>
      <c r="AG23" s="2"/>
      <c r="AH23" s="2" t="s">
        <v>101</v>
      </c>
      <c r="AI23" s="2" t="s">
        <v>102</v>
      </c>
      <c r="AJ23" s="2" t="s">
        <v>100</v>
      </c>
      <c r="AK23" s="2" t="s">
        <v>100</v>
      </c>
      <c r="AL23" s="2" t="s">
        <v>215</v>
      </c>
      <c r="AM23" s="2" t="s">
        <v>104</v>
      </c>
      <c r="AN23" s="2" t="s">
        <v>105</v>
      </c>
      <c r="AO23" s="2"/>
      <c r="AP23" s="2" t="s">
        <v>106</v>
      </c>
      <c r="AQ23" s="2" t="s">
        <v>107</v>
      </c>
    </row>
    <row r="24" spans="1:43" ht="28.8" x14ac:dyDescent="0.3">
      <c r="A24" s="2" t="s">
        <v>216</v>
      </c>
      <c r="B24" s="2" t="s">
        <v>217</v>
      </c>
      <c r="C24" s="2" t="s">
        <v>218</v>
      </c>
      <c r="D24" s="2" t="s">
        <v>111</v>
      </c>
      <c r="E24" s="2" t="s">
        <v>83</v>
      </c>
      <c r="F24" s="2" t="s">
        <v>219</v>
      </c>
      <c r="G24" s="2" t="s">
        <v>85</v>
      </c>
      <c r="H24" s="2"/>
      <c r="I24" s="2"/>
      <c r="J24" s="2">
        <v>9</v>
      </c>
      <c r="K24" s="2" t="s">
        <v>89</v>
      </c>
      <c r="L24" s="2" t="s">
        <v>87</v>
      </c>
      <c r="M24" s="2" t="s">
        <v>88</v>
      </c>
      <c r="N24" s="2">
        <v>2</v>
      </c>
      <c r="O24" s="2">
        <v>2</v>
      </c>
      <c r="P24" s="2">
        <v>4</v>
      </c>
      <c r="Q24" s="2" t="s">
        <v>113</v>
      </c>
      <c r="R24" s="2" t="s">
        <v>90</v>
      </c>
      <c r="S24" s="2" t="s">
        <v>91</v>
      </c>
      <c r="T24" s="2" t="s">
        <v>92</v>
      </c>
      <c r="U24" s="2" t="s">
        <v>93</v>
      </c>
      <c r="V24" s="2" t="s">
        <v>93</v>
      </c>
      <c r="W24" s="2" t="s">
        <v>94</v>
      </c>
      <c r="X24" s="2" t="s">
        <v>59</v>
      </c>
      <c r="Y24" s="2" t="s">
        <v>95</v>
      </c>
      <c r="Z24" s="2" t="s">
        <v>96</v>
      </c>
      <c r="AA24" s="2" t="s">
        <v>96</v>
      </c>
      <c r="AB24" s="2" t="s">
        <v>97</v>
      </c>
      <c r="AC24" s="2" t="s">
        <v>98</v>
      </c>
      <c r="AD24" s="2" t="s">
        <v>99</v>
      </c>
      <c r="AE24" s="2" t="s">
        <v>100</v>
      </c>
      <c r="AF24" s="2" t="s">
        <v>100</v>
      </c>
      <c r="AG24" s="2"/>
      <c r="AH24" s="2" t="s">
        <v>101</v>
      </c>
      <c r="AI24" s="2" t="s">
        <v>102</v>
      </c>
      <c r="AJ24" s="2" t="s">
        <v>100</v>
      </c>
      <c r="AK24" s="2" t="s">
        <v>100</v>
      </c>
      <c r="AL24" s="2" t="s">
        <v>220</v>
      </c>
      <c r="AM24" s="2" t="s">
        <v>104</v>
      </c>
      <c r="AN24" s="2" t="s">
        <v>105</v>
      </c>
      <c r="AO24" s="2"/>
      <c r="AP24" s="2" t="s">
        <v>106</v>
      </c>
      <c r="AQ24" s="2" t="s">
        <v>107</v>
      </c>
    </row>
    <row r="25" spans="1:43" ht="28.8" x14ac:dyDescent="0.3">
      <c r="A25" s="2" t="s">
        <v>221</v>
      </c>
      <c r="B25" s="2" t="s">
        <v>222</v>
      </c>
      <c r="C25" s="2" t="s">
        <v>223</v>
      </c>
      <c r="D25" s="2" t="s">
        <v>111</v>
      </c>
      <c r="E25" s="2" t="s">
        <v>83</v>
      </c>
      <c r="F25" s="2" t="s">
        <v>224</v>
      </c>
      <c r="G25" s="2" t="s">
        <v>85</v>
      </c>
      <c r="H25" s="2"/>
      <c r="I25" s="2"/>
      <c r="J25" s="2">
        <v>9</v>
      </c>
      <c r="K25" s="2" t="s">
        <v>89</v>
      </c>
      <c r="L25" s="2" t="s">
        <v>87</v>
      </c>
      <c r="M25" s="2" t="s">
        <v>88</v>
      </c>
      <c r="N25" s="2">
        <v>2</v>
      </c>
      <c r="O25" s="2">
        <v>2</v>
      </c>
      <c r="P25" s="2">
        <v>4</v>
      </c>
      <c r="Q25" s="2" t="s">
        <v>113</v>
      </c>
      <c r="R25" s="2" t="s">
        <v>90</v>
      </c>
      <c r="S25" s="2" t="s">
        <v>91</v>
      </c>
      <c r="T25" s="2" t="s">
        <v>92</v>
      </c>
      <c r="U25" s="2" t="s">
        <v>93</v>
      </c>
      <c r="V25" s="2" t="s">
        <v>93</v>
      </c>
      <c r="W25" s="2" t="s">
        <v>94</v>
      </c>
      <c r="X25" s="2" t="s">
        <v>59</v>
      </c>
      <c r="Y25" s="2" t="s">
        <v>95</v>
      </c>
      <c r="Z25" s="2" t="s">
        <v>96</v>
      </c>
      <c r="AA25" s="2" t="s">
        <v>96</v>
      </c>
      <c r="AB25" s="2" t="s">
        <v>97</v>
      </c>
      <c r="AC25" s="2" t="s">
        <v>98</v>
      </c>
      <c r="AD25" s="2" t="s">
        <v>99</v>
      </c>
      <c r="AE25" s="2" t="s">
        <v>100</v>
      </c>
      <c r="AF25" s="2" t="s">
        <v>100</v>
      </c>
      <c r="AG25" s="2"/>
      <c r="AH25" s="2" t="s">
        <v>101</v>
      </c>
      <c r="AI25" s="2" t="s">
        <v>102</v>
      </c>
      <c r="AJ25" s="2" t="s">
        <v>100</v>
      </c>
      <c r="AK25" s="2" t="s">
        <v>100</v>
      </c>
      <c r="AL25" s="2" t="s">
        <v>225</v>
      </c>
      <c r="AM25" s="2" t="s">
        <v>104</v>
      </c>
      <c r="AN25" s="2" t="s">
        <v>105</v>
      </c>
      <c r="AO25" s="2"/>
      <c r="AP25" s="2" t="s">
        <v>106</v>
      </c>
      <c r="AQ25" s="2" t="s">
        <v>107</v>
      </c>
    </row>
    <row r="26" spans="1:43" ht="28.8" x14ac:dyDescent="0.3">
      <c r="A26" s="2" t="s">
        <v>226</v>
      </c>
      <c r="B26" s="2" t="s">
        <v>227</v>
      </c>
      <c r="C26" s="2" t="s">
        <v>228</v>
      </c>
      <c r="D26" s="2" t="s">
        <v>183</v>
      </c>
      <c r="E26" s="2" t="s">
        <v>83</v>
      </c>
      <c r="F26" s="2" t="s">
        <v>229</v>
      </c>
      <c r="G26" s="2" t="s">
        <v>85</v>
      </c>
      <c r="H26" s="2"/>
      <c r="I26" s="2"/>
      <c r="J26" s="2">
        <v>4</v>
      </c>
      <c r="K26" s="2" t="s">
        <v>113</v>
      </c>
      <c r="L26" s="2" t="s">
        <v>87</v>
      </c>
      <c r="M26" s="2" t="s">
        <v>88</v>
      </c>
      <c r="N26" s="2">
        <v>1</v>
      </c>
      <c r="O26" s="2">
        <v>1</v>
      </c>
      <c r="P26" s="2">
        <v>1</v>
      </c>
      <c r="Q26" s="2" t="s">
        <v>113</v>
      </c>
      <c r="R26" s="2" t="s">
        <v>90</v>
      </c>
      <c r="S26" s="2" t="s">
        <v>91</v>
      </c>
      <c r="T26" s="2" t="s">
        <v>92</v>
      </c>
      <c r="U26" s="2" t="s">
        <v>93</v>
      </c>
      <c r="V26" s="2" t="s">
        <v>93</v>
      </c>
      <c r="W26" s="2" t="s">
        <v>94</v>
      </c>
      <c r="X26" s="2" t="s">
        <v>59</v>
      </c>
      <c r="Y26" s="2" t="s">
        <v>95</v>
      </c>
      <c r="Z26" s="2" t="s">
        <v>96</v>
      </c>
      <c r="AA26" s="2" t="s">
        <v>96</v>
      </c>
      <c r="AB26" s="2" t="s">
        <v>97</v>
      </c>
      <c r="AC26" s="2" t="s">
        <v>98</v>
      </c>
      <c r="AD26" s="2" t="s">
        <v>99</v>
      </c>
      <c r="AE26" s="2" t="s">
        <v>100</v>
      </c>
      <c r="AF26" s="2" t="s">
        <v>100</v>
      </c>
      <c r="AG26" s="2"/>
      <c r="AH26" s="2" t="s">
        <v>101</v>
      </c>
      <c r="AI26" s="2" t="s">
        <v>102</v>
      </c>
      <c r="AJ26" s="2" t="s">
        <v>100</v>
      </c>
      <c r="AK26" s="2" t="s">
        <v>100</v>
      </c>
      <c r="AL26" s="2" t="s">
        <v>230</v>
      </c>
      <c r="AM26" s="2" t="s">
        <v>104</v>
      </c>
      <c r="AN26" s="2" t="s">
        <v>105</v>
      </c>
      <c r="AO26" s="2"/>
      <c r="AP26" s="2" t="s">
        <v>106</v>
      </c>
      <c r="AQ26" s="2" t="s">
        <v>107</v>
      </c>
    </row>
    <row r="27" spans="1:43" ht="28.8" x14ac:dyDescent="0.3">
      <c r="A27" s="2" t="s">
        <v>231</v>
      </c>
      <c r="B27" s="2" t="s">
        <v>232</v>
      </c>
      <c r="C27" s="2" t="s">
        <v>233</v>
      </c>
      <c r="D27" s="2" t="s">
        <v>111</v>
      </c>
      <c r="E27" s="2" t="s">
        <v>83</v>
      </c>
      <c r="F27" s="2" t="s">
        <v>234</v>
      </c>
      <c r="G27" s="2" t="s">
        <v>85</v>
      </c>
      <c r="H27" s="2"/>
      <c r="I27" s="2"/>
      <c r="J27" s="2">
        <v>9</v>
      </c>
      <c r="K27" s="2" t="s">
        <v>89</v>
      </c>
      <c r="L27" s="2" t="s">
        <v>87</v>
      </c>
      <c r="M27" s="2" t="s">
        <v>88</v>
      </c>
      <c r="N27" s="2">
        <v>2</v>
      </c>
      <c r="O27" s="2">
        <v>2</v>
      </c>
      <c r="P27" s="2">
        <v>4</v>
      </c>
      <c r="Q27" s="2" t="s">
        <v>113</v>
      </c>
      <c r="R27" s="2" t="s">
        <v>90</v>
      </c>
      <c r="S27" s="2" t="s">
        <v>91</v>
      </c>
      <c r="T27" s="2" t="s">
        <v>92</v>
      </c>
      <c r="U27" s="2" t="s">
        <v>93</v>
      </c>
      <c r="V27" s="2" t="s">
        <v>93</v>
      </c>
      <c r="W27" s="2" t="s">
        <v>94</v>
      </c>
      <c r="X27" s="2" t="s">
        <v>59</v>
      </c>
      <c r="Y27" s="2" t="s">
        <v>95</v>
      </c>
      <c r="Z27" s="2" t="s">
        <v>96</v>
      </c>
      <c r="AA27" s="2" t="s">
        <v>96</v>
      </c>
      <c r="AB27" s="2" t="s">
        <v>97</v>
      </c>
      <c r="AC27" s="2" t="s">
        <v>98</v>
      </c>
      <c r="AD27" s="2" t="s">
        <v>99</v>
      </c>
      <c r="AE27" s="2" t="s">
        <v>100</v>
      </c>
      <c r="AF27" s="2" t="s">
        <v>100</v>
      </c>
      <c r="AG27" s="2"/>
      <c r="AH27" s="2" t="s">
        <v>101</v>
      </c>
      <c r="AI27" s="2" t="s">
        <v>102</v>
      </c>
      <c r="AJ27" s="2" t="s">
        <v>100</v>
      </c>
      <c r="AK27" s="2" t="s">
        <v>100</v>
      </c>
      <c r="AL27" s="2" t="s">
        <v>235</v>
      </c>
      <c r="AM27" s="2" t="s">
        <v>104</v>
      </c>
      <c r="AN27" s="2" t="s">
        <v>105</v>
      </c>
      <c r="AO27" s="2"/>
      <c r="AP27" s="2" t="s">
        <v>106</v>
      </c>
      <c r="AQ27" s="2" t="s">
        <v>107</v>
      </c>
    </row>
    <row r="28" spans="1:43" ht="28.8" x14ac:dyDescent="0.3">
      <c r="A28" s="2" t="s">
        <v>236</v>
      </c>
      <c r="B28" s="2" t="s">
        <v>237</v>
      </c>
      <c r="C28" s="2" t="s">
        <v>238</v>
      </c>
      <c r="D28" s="2" t="s">
        <v>183</v>
      </c>
      <c r="E28" s="2" t="s">
        <v>83</v>
      </c>
      <c r="F28" s="2" t="s">
        <v>239</v>
      </c>
      <c r="G28" s="2" t="s">
        <v>85</v>
      </c>
      <c r="H28" s="2"/>
      <c r="I28" s="2"/>
      <c r="J28" s="2">
        <v>4</v>
      </c>
      <c r="K28" s="2" t="s">
        <v>113</v>
      </c>
      <c r="L28" s="2" t="s">
        <v>87</v>
      </c>
      <c r="M28" s="2" t="s">
        <v>88</v>
      </c>
      <c r="N28" s="2">
        <v>1</v>
      </c>
      <c r="O28" s="2">
        <v>1</v>
      </c>
      <c r="P28" s="2">
        <v>1</v>
      </c>
      <c r="Q28" s="2" t="s">
        <v>113</v>
      </c>
      <c r="R28" s="2" t="s">
        <v>90</v>
      </c>
      <c r="S28" s="2" t="s">
        <v>91</v>
      </c>
      <c r="T28" s="2" t="s">
        <v>92</v>
      </c>
      <c r="U28" s="2" t="s">
        <v>93</v>
      </c>
      <c r="V28" s="2" t="s">
        <v>93</v>
      </c>
      <c r="W28" s="2" t="s">
        <v>94</v>
      </c>
      <c r="X28" s="2" t="s">
        <v>59</v>
      </c>
      <c r="Y28" s="2" t="s">
        <v>95</v>
      </c>
      <c r="Z28" s="2" t="s">
        <v>96</v>
      </c>
      <c r="AA28" s="2" t="s">
        <v>96</v>
      </c>
      <c r="AB28" s="2" t="s">
        <v>97</v>
      </c>
      <c r="AC28" s="2" t="s">
        <v>98</v>
      </c>
      <c r="AD28" s="2" t="s">
        <v>99</v>
      </c>
      <c r="AE28" s="2" t="s">
        <v>100</v>
      </c>
      <c r="AF28" s="2" t="s">
        <v>100</v>
      </c>
      <c r="AG28" s="2"/>
      <c r="AH28" s="2" t="s">
        <v>101</v>
      </c>
      <c r="AI28" s="2" t="s">
        <v>102</v>
      </c>
      <c r="AJ28" s="2" t="s">
        <v>100</v>
      </c>
      <c r="AK28" s="2" t="s">
        <v>100</v>
      </c>
      <c r="AL28" s="2" t="s">
        <v>240</v>
      </c>
      <c r="AM28" s="2" t="s">
        <v>104</v>
      </c>
      <c r="AN28" s="2" t="s">
        <v>105</v>
      </c>
      <c r="AO28" s="2"/>
      <c r="AP28" s="2" t="s">
        <v>106</v>
      </c>
      <c r="AQ28" s="2" t="s">
        <v>107</v>
      </c>
    </row>
    <row r="29" spans="1:43" ht="28.8" x14ac:dyDescent="0.3">
      <c r="A29" s="2" t="s">
        <v>241</v>
      </c>
      <c r="B29" s="2" t="s">
        <v>242</v>
      </c>
      <c r="C29" s="2" t="s">
        <v>243</v>
      </c>
      <c r="D29" s="2" t="s">
        <v>111</v>
      </c>
      <c r="E29" s="2" t="s">
        <v>83</v>
      </c>
      <c r="F29" s="2" t="s">
        <v>244</v>
      </c>
      <c r="G29" s="2" t="s">
        <v>85</v>
      </c>
      <c r="H29" s="2"/>
      <c r="I29" s="2"/>
      <c r="J29" s="2">
        <v>9</v>
      </c>
      <c r="K29" s="2" t="s">
        <v>89</v>
      </c>
      <c r="L29" s="2" t="s">
        <v>87</v>
      </c>
      <c r="M29" s="2" t="s">
        <v>88</v>
      </c>
      <c r="N29" s="2">
        <v>2</v>
      </c>
      <c r="O29" s="2">
        <v>2</v>
      </c>
      <c r="P29" s="2">
        <v>4</v>
      </c>
      <c r="Q29" s="2" t="s">
        <v>113</v>
      </c>
      <c r="R29" s="2" t="s">
        <v>90</v>
      </c>
      <c r="S29" s="2" t="s">
        <v>91</v>
      </c>
      <c r="T29" s="2" t="s">
        <v>92</v>
      </c>
      <c r="U29" s="2" t="s">
        <v>93</v>
      </c>
      <c r="V29" s="2" t="s">
        <v>93</v>
      </c>
      <c r="W29" s="2" t="s">
        <v>94</v>
      </c>
      <c r="X29" s="2" t="s">
        <v>59</v>
      </c>
      <c r="Y29" s="2" t="s">
        <v>95</v>
      </c>
      <c r="Z29" s="2" t="s">
        <v>96</v>
      </c>
      <c r="AA29" s="2" t="s">
        <v>96</v>
      </c>
      <c r="AB29" s="2" t="s">
        <v>97</v>
      </c>
      <c r="AC29" s="2" t="s">
        <v>98</v>
      </c>
      <c r="AD29" s="2" t="s">
        <v>99</v>
      </c>
      <c r="AE29" s="2" t="s">
        <v>100</v>
      </c>
      <c r="AF29" s="2" t="s">
        <v>100</v>
      </c>
      <c r="AG29" s="2"/>
      <c r="AH29" s="2" t="s">
        <v>101</v>
      </c>
      <c r="AI29" s="2" t="s">
        <v>102</v>
      </c>
      <c r="AJ29" s="2" t="s">
        <v>100</v>
      </c>
      <c r="AK29" s="2" t="s">
        <v>100</v>
      </c>
      <c r="AL29" s="2" t="s">
        <v>245</v>
      </c>
      <c r="AM29" s="2" t="s">
        <v>104</v>
      </c>
      <c r="AN29" s="2" t="s">
        <v>105</v>
      </c>
      <c r="AO29" s="2"/>
      <c r="AP29" s="2" t="s">
        <v>106</v>
      </c>
      <c r="AQ29" s="2" t="s">
        <v>107</v>
      </c>
    </row>
    <row r="30" spans="1:43" ht="28.8" x14ac:dyDescent="0.3">
      <c r="A30" s="2" t="s">
        <v>246</v>
      </c>
      <c r="B30" s="2" t="s">
        <v>247</v>
      </c>
      <c r="C30" s="2" t="s">
        <v>248</v>
      </c>
      <c r="D30" s="2" t="s">
        <v>82</v>
      </c>
      <c r="E30" s="2" t="s">
        <v>83</v>
      </c>
      <c r="F30" s="2" t="s">
        <v>249</v>
      </c>
      <c r="G30" s="2" t="s">
        <v>85</v>
      </c>
      <c r="H30" s="2"/>
      <c r="I30" s="2"/>
      <c r="J30" s="2">
        <v>16</v>
      </c>
      <c r="K30" s="2" t="s">
        <v>86</v>
      </c>
      <c r="L30" s="2" t="s">
        <v>87</v>
      </c>
      <c r="M30" s="2" t="s">
        <v>88</v>
      </c>
      <c r="N30" s="2">
        <v>3</v>
      </c>
      <c r="O30" s="2">
        <v>3</v>
      </c>
      <c r="P30" s="2">
        <v>9</v>
      </c>
      <c r="Q30" s="2" t="s">
        <v>89</v>
      </c>
      <c r="R30" s="2" t="s">
        <v>90</v>
      </c>
      <c r="S30" s="2" t="s">
        <v>91</v>
      </c>
      <c r="T30" s="2" t="s">
        <v>92</v>
      </c>
      <c r="U30" s="2" t="s">
        <v>93</v>
      </c>
      <c r="V30" s="2" t="s">
        <v>93</v>
      </c>
      <c r="W30" s="2" t="s">
        <v>94</v>
      </c>
      <c r="X30" s="2" t="s">
        <v>59</v>
      </c>
      <c r="Y30" s="2" t="s">
        <v>95</v>
      </c>
      <c r="Z30" s="2" t="s">
        <v>96</v>
      </c>
      <c r="AA30" s="2" t="s">
        <v>96</v>
      </c>
      <c r="AB30" s="2" t="s">
        <v>97</v>
      </c>
      <c r="AC30" s="2" t="s">
        <v>98</v>
      </c>
      <c r="AD30" s="2" t="s">
        <v>99</v>
      </c>
      <c r="AE30" s="2" t="s">
        <v>100</v>
      </c>
      <c r="AF30" s="2" t="s">
        <v>100</v>
      </c>
      <c r="AG30" s="2"/>
      <c r="AH30" s="2" t="s">
        <v>101</v>
      </c>
      <c r="AI30" s="2" t="s">
        <v>102</v>
      </c>
      <c r="AJ30" s="2" t="s">
        <v>100</v>
      </c>
      <c r="AK30" s="2" t="s">
        <v>100</v>
      </c>
      <c r="AL30" s="2" t="s">
        <v>250</v>
      </c>
      <c r="AM30" s="2" t="s">
        <v>104</v>
      </c>
      <c r="AN30" s="2" t="s">
        <v>105</v>
      </c>
      <c r="AO30" s="2"/>
      <c r="AP30" s="2" t="s">
        <v>106</v>
      </c>
      <c r="AQ30" s="2" t="s">
        <v>107</v>
      </c>
    </row>
    <row r="31" spans="1:43" ht="28.8" x14ac:dyDescent="0.3">
      <c r="A31" s="2" t="s">
        <v>251</v>
      </c>
      <c r="B31" s="2" t="s">
        <v>252</v>
      </c>
      <c r="C31" s="2" t="s">
        <v>253</v>
      </c>
      <c r="D31" s="2" t="s">
        <v>183</v>
      </c>
      <c r="E31" s="2" t="s">
        <v>83</v>
      </c>
      <c r="F31" s="2" t="s">
        <v>254</v>
      </c>
      <c r="G31" s="2" t="s">
        <v>85</v>
      </c>
      <c r="H31" s="2"/>
      <c r="I31" s="2"/>
      <c r="J31" s="2">
        <v>4</v>
      </c>
      <c r="K31" s="2" t="s">
        <v>113</v>
      </c>
      <c r="L31" s="2" t="s">
        <v>87</v>
      </c>
      <c r="M31" s="2" t="s">
        <v>88</v>
      </c>
      <c r="N31" s="2">
        <v>1</v>
      </c>
      <c r="O31" s="2">
        <v>1</v>
      </c>
      <c r="P31" s="2">
        <v>1</v>
      </c>
      <c r="Q31" s="2" t="s">
        <v>113</v>
      </c>
      <c r="R31" s="2" t="s">
        <v>90</v>
      </c>
      <c r="S31" s="2" t="s">
        <v>91</v>
      </c>
      <c r="T31" s="2" t="s">
        <v>92</v>
      </c>
      <c r="U31" s="2" t="s">
        <v>93</v>
      </c>
      <c r="V31" s="2" t="s">
        <v>93</v>
      </c>
      <c r="W31" s="2" t="s">
        <v>94</v>
      </c>
      <c r="X31" s="2" t="s">
        <v>59</v>
      </c>
      <c r="Y31" s="2" t="s">
        <v>95</v>
      </c>
      <c r="Z31" s="2" t="s">
        <v>96</v>
      </c>
      <c r="AA31" s="2" t="s">
        <v>96</v>
      </c>
      <c r="AB31" s="2" t="s">
        <v>97</v>
      </c>
      <c r="AC31" s="2" t="s">
        <v>98</v>
      </c>
      <c r="AD31" s="2" t="s">
        <v>99</v>
      </c>
      <c r="AE31" s="2" t="s">
        <v>100</v>
      </c>
      <c r="AF31" s="2" t="s">
        <v>100</v>
      </c>
      <c r="AG31" s="2"/>
      <c r="AH31" s="2" t="s">
        <v>101</v>
      </c>
      <c r="AI31" s="2" t="s">
        <v>102</v>
      </c>
      <c r="AJ31" s="2" t="s">
        <v>100</v>
      </c>
      <c r="AK31" s="2" t="s">
        <v>100</v>
      </c>
      <c r="AL31" s="2" t="s">
        <v>255</v>
      </c>
      <c r="AM31" s="2" t="s">
        <v>104</v>
      </c>
      <c r="AN31" s="2" t="s">
        <v>105</v>
      </c>
      <c r="AO31" s="2"/>
      <c r="AP31" s="2" t="s">
        <v>106</v>
      </c>
      <c r="AQ31" s="2" t="s">
        <v>107</v>
      </c>
    </row>
  </sheetData>
  <conditionalFormatting sqref="Q2:Q31">
    <cfRule type="cellIs" dxfId="97" priority="1" operator="equal">
      <formula>"Critical"</formula>
    </cfRule>
    <cfRule type="cellIs" dxfId="96" priority="2" operator="equal">
      <formula>"High"</formula>
    </cfRule>
    <cfRule type="cellIs" dxfId="95" priority="3" operator="equal">
      <formula>"Medium"</formula>
    </cfRule>
    <cfRule type="cellIs" dxfId="94" priority="4" operator="equal">
      <formula>"Low"</formula>
    </cfRule>
  </conditionalFormatting>
  <dataValidations count="12">
    <dataValidation type="list" allowBlank="1" sqref="D2:D31" xr:uid="{00000000-0002-0000-0200-000000000000}">
      <formula1>"Basic,Standard,Enhanced"</formula1>
    </dataValidation>
    <dataValidation type="list" allowBlank="1" sqref="E2:E31" xr:uid="{00000000-0002-0000-0200-000001000000}">
      <formula1>"Residual Vendor Risk,Risk Exception,Risk Review,Incident,Contractual Risk,Other"</formula1>
    </dataValidation>
    <dataValidation type="list" allowBlank="1" sqref="N2:O31 H2:I31" xr:uid="{00000000-0002-0000-0200-000002000000}">
      <formula1>"1,2,3,4,5"</formula1>
    </dataValidation>
    <dataValidation type="list" allowBlank="1" sqref="K2:K31 Q2:Q31" xr:uid="{00000000-0002-0000-0200-000004000000}">
      <formula1>"Low,Medium,High,Critical"</formula1>
    </dataValidation>
    <dataValidation type="list" allowBlank="1" sqref="L2:L31" xr:uid="{00000000-0002-0000-0200-000005000000}">
      <formula1>"Mitigate,Transfer,Avoid,Accept"</formula1>
    </dataValidation>
    <dataValidation type="list" allowBlank="1" sqref="M2:M31" xr:uid="{00000000-0002-0000-0200-000006000000}">
      <formula1>"Not Started,In Progress,Completed,Blocked,Pending Validation"</formula1>
    </dataValidation>
    <dataValidation type="list" allowBlank="1" sqref="R2:R31" xr:uid="{00000000-0002-0000-0200-00000A000000}">
      <formula1>"Within Tolerance,Near Tolerance,Above Tolerance,Pending Review"</formula1>
    </dataValidation>
    <dataValidation type="list" allowBlank="1" sqref="S2:S31 AP2:AP31 AJ2:AL31" xr:uid="{00000000-0002-0000-0200-00000B000000}">
      <formula1>"Yes,No"</formula1>
    </dataValidation>
    <dataValidation type="list" allowBlank="1" sqref="X2:X31" xr:uid="{00000000-0002-0000-0200-00000C000000}">
      <formula1>"Risk Owner,GRC Manager,CISO,Executive Management,Business Owner"</formula1>
    </dataValidation>
    <dataValidation type="list" allowBlank="1" sqref="AC2:AC31" xr:uid="{00000000-0002-0000-0200-00000D000000}">
      <formula1>"Weekly,Monthly,Quarterly,Semi-Annual,Annual"</formula1>
    </dataValidation>
    <dataValidation type="list" allowBlank="1" sqref="AE2:AE31" xr:uid="{00000000-0002-0000-0200-00000E000000}">
      <formula1>"Pending,Approved,Conditionally Approved,Rejected,Expired,Closed"</formula1>
    </dataValidation>
    <dataValidation type="list" allowBlank="1" sqref="AF2:AF31" xr:uid="{00000000-0002-0000-0200-00000F000000}">
      <formula1>"Pending,Approved,Conditionally Approved,Rejected"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75B5"/>
  </sheetPr>
  <dimension ref="A1:M31"/>
  <sheetViews>
    <sheetView workbookViewId="0">
      <selection activeCell="E25" sqref="A2:M31"/>
    </sheetView>
  </sheetViews>
  <sheetFormatPr defaultRowHeight="14.4" x14ac:dyDescent="0.3"/>
  <cols>
    <col min="1" max="2" width="18" customWidth="1"/>
    <col min="3" max="3" width="13" customWidth="1"/>
    <col min="4" max="4" width="30" customWidth="1"/>
    <col min="5" max="5" width="26" customWidth="1"/>
    <col min="6" max="6" width="25" customWidth="1"/>
    <col min="7" max="7" width="28" customWidth="1"/>
    <col min="8" max="8" width="24" customWidth="1"/>
    <col min="9" max="9" width="16" customWidth="1"/>
    <col min="10" max="10" width="65" customWidth="1"/>
    <col min="11" max="11" width="45" customWidth="1"/>
    <col min="12" max="12" width="18" customWidth="1"/>
    <col min="13" max="13" width="50" customWidth="1"/>
  </cols>
  <sheetData>
    <row r="1" spans="1:13" x14ac:dyDescent="0.3">
      <c r="A1" s="1" t="s">
        <v>256</v>
      </c>
      <c r="B1" s="1" t="s">
        <v>36</v>
      </c>
      <c r="C1" s="1" t="s">
        <v>37</v>
      </c>
      <c r="D1" s="1" t="s">
        <v>38</v>
      </c>
      <c r="E1" s="1" t="s">
        <v>257</v>
      </c>
      <c r="F1" s="1" t="s">
        <v>258</v>
      </c>
      <c r="G1" s="1" t="s">
        <v>259</v>
      </c>
      <c r="H1" s="1" t="s">
        <v>260</v>
      </c>
      <c r="I1" s="1" t="s">
        <v>261</v>
      </c>
      <c r="J1" s="1" t="s">
        <v>262</v>
      </c>
      <c r="K1" s="1" t="s">
        <v>74</v>
      </c>
      <c r="L1" s="1" t="s">
        <v>65</v>
      </c>
      <c r="M1" s="1" t="s">
        <v>78</v>
      </c>
    </row>
    <row r="2" spans="1:13" x14ac:dyDescent="0.3">
      <c r="A2" s="7" t="s">
        <v>263</v>
      </c>
      <c r="B2" s="7" t="s">
        <v>79</v>
      </c>
      <c r="C2" s="7" t="s">
        <v>80</v>
      </c>
      <c r="D2" s="7" t="s">
        <v>81</v>
      </c>
      <c r="E2" s="7" t="s">
        <v>264</v>
      </c>
      <c r="F2" s="7" t="s">
        <v>95</v>
      </c>
      <c r="G2" s="7" t="s">
        <v>265</v>
      </c>
      <c r="H2" s="7" t="s">
        <v>100</v>
      </c>
      <c r="I2" s="7"/>
      <c r="J2" s="7" t="s">
        <v>266</v>
      </c>
      <c r="K2" s="7" t="s">
        <v>100</v>
      </c>
      <c r="L2" s="7" t="s">
        <v>99</v>
      </c>
      <c r="M2" s="7" t="s">
        <v>267</v>
      </c>
    </row>
    <row r="3" spans="1:13" x14ac:dyDescent="0.3">
      <c r="A3" s="7" t="s">
        <v>268</v>
      </c>
      <c r="B3" s="7" t="s">
        <v>108</v>
      </c>
      <c r="C3" s="7" t="s">
        <v>109</v>
      </c>
      <c r="D3" s="7" t="s">
        <v>110</v>
      </c>
      <c r="E3" s="7" t="s">
        <v>264</v>
      </c>
      <c r="F3" s="7" t="s">
        <v>95</v>
      </c>
      <c r="G3" s="7" t="s">
        <v>265</v>
      </c>
      <c r="H3" s="7" t="s">
        <v>100</v>
      </c>
      <c r="I3" s="7"/>
      <c r="J3" s="7" t="s">
        <v>266</v>
      </c>
      <c r="K3" s="7" t="s">
        <v>100</v>
      </c>
      <c r="L3" s="7" t="s">
        <v>99</v>
      </c>
      <c r="M3" s="7" t="s">
        <v>267</v>
      </c>
    </row>
    <row r="4" spans="1:13" x14ac:dyDescent="0.3">
      <c r="A4" s="7" t="s">
        <v>269</v>
      </c>
      <c r="B4" s="7" t="s">
        <v>115</v>
      </c>
      <c r="C4" s="7" t="s">
        <v>116</v>
      </c>
      <c r="D4" s="7" t="s">
        <v>117</v>
      </c>
      <c r="E4" s="7" t="s">
        <v>264</v>
      </c>
      <c r="F4" s="7" t="s">
        <v>95</v>
      </c>
      <c r="G4" s="7" t="s">
        <v>265</v>
      </c>
      <c r="H4" s="7" t="s">
        <v>100</v>
      </c>
      <c r="I4" s="7"/>
      <c r="J4" s="7" t="s">
        <v>266</v>
      </c>
      <c r="K4" s="7" t="s">
        <v>100</v>
      </c>
      <c r="L4" s="7" t="s">
        <v>99</v>
      </c>
      <c r="M4" s="7" t="s">
        <v>267</v>
      </c>
    </row>
    <row r="5" spans="1:13" x14ac:dyDescent="0.3">
      <c r="A5" s="7" t="s">
        <v>270</v>
      </c>
      <c r="B5" s="7" t="s">
        <v>120</v>
      </c>
      <c r="C5" s="7" t="s">
        <v>121</v>
      </c>
      <c r="D5" s="7" t="s">
        <v>122</v>
      </c>
      <c r="E5" s="7" t="s">
        <v>264</v>
      </c>
      <c r="F5" s="7" t="s">
        <v>95</v>
      </c>
      <c r="G5" s="7" t="s">
        <v>265</v>
      </c>
      <c r="H5" s="7" t="s">
        <v>100</v>
      </c>
      <c r="I5" s="7"/>
      <c r="J5" s="7" t="s">
        <v>266</v>
      </c>
      <c r="K5" s="7" t="s">
        <v>100</v>
      </c>
      <c r="L5" s="7" t="s">
        <v>99</v>
      </c>
      <c r="M5" s="7" t="s">
        <v>267</v>
      </c>
    </row>
    <row r="6" spans="1:13" x14ac:dyDescent="0.3">
      <c r="A6" s="7" t="s">
        <v>271</v>
      </c>
      <c r="B6" s="7" t="s">
        <v>125</v>
      </c>
      <c r="C6" s="7" t="s">
        <v>126</v>
      </c>
      <c r="D6" s="7" t="s">
        <v>127</v>
      </c>
      <c r="E6" s="7" t="s">
        <v>264</v>
      </c>
      <c r="F6" s="7" t="s">
        <v>95</v>
      </c>
      <c r="G6" s="7" t="s">
        <v>265</v>
      </c>
      <c r="H6" s="7" t="s">
        <v>100</v>
      </c>
      <c r="I6" s="7"/>
      <c r="J6" s="7" t="s">
        <v>266</v>
      </c>
      <c r="K6" s="7" t="s">
        <v>100</v>
      </c>
      <c r="L6" s="7" t="s">
        <v>99</v>
      </c>
      <c r="M6" s="7" t="s">
        <v>267</v>
      </c>
    </row>
    <row r="7" spans="1:13" x14ac:dyDescent="0.3">
      <c r="A7" s="7" t="s">
        <v>272</v>
      </c>
      <c r="B7" s="7" t="s">
        <v>130</v>
      </c>
      <c r="C7" s="7" t="s">
        <v>131</v>
      </c>
      <c r="D7" s="7" t="s">
        <v>132</v>
      </c>
      <c r="E7" s="7" t="s">
        <v>264</v>
      </c>
      <c r="F7" s="7" t="s">
        <v>95</v>
      </c>
      <c r="G7" s="7" t="s">
        <v>265</v>
      </c>
      <c r="H7" s="7" t="s">
        <v>100</v>
      </c>
      <c r="I7" s="7"/>
      <c r="J7" s="7" t="s">
        <v>266</v>
      </c>
      <c r="K7" s="7" t="s">
        <v>100</v>
      </c>
      <c r="L7" s="7" t="s">
        <v>99</v>
      </c>
      <c r="M7" s="7" t="s">
        <v>267</v>
      </c>
    </row>
    <row r="8" spans="1:13" x14ac:dyDescent="0.3">
      <c r="A8" s="7" t="s">
        <v>273</v>
      </c>
      <c r="B8" s="7" t="s">
        <v>135</v>
      </c>
      <c r="C8" s="7" t="s">
        <v>136</v>
      </c>
      <c r="D8" s="7" t="s">
        <v>137</v>
      </c>
      <c r="E8" s="7" t="s">
        <v>264</v>
      </c>
      <c r="F8" s="7" t="s">
        <v>95</v>
      </c>
      <c r="G8" s="7" t="s">
        <v>265</v>
      </c>
      <c r="H8" s="7" t="s">
        <v>100</v>
      </c>
      <c r="I8" s="7"/>
      <c r="J8" s="7" t="s">
        <v>266</v>
      </c>
      <c r="K8" s="7" t="s">
        <v>100</v>
      </c>
      <c r="L8" s="7" t="s">
        <v>99</v>
      </c>
      <c r="M8" s="7" t="s">
        <v>267</v>
      </c>
    </row>
    <row r="9" spans="1:13" x14ac:dyDescent="0.3">
      <c r="A9" s="7" t="s">
        <v>274</v>
      </c>
      <c r="B9" s="7" t="s">
        <v>140</v>
      </c>
      <c r="C9" s="7" t="s">
        <v>141</v>
      </c>
      <c r="D9" s="7" t="s">
        <v>142</v>
      </c>
      <c r="E9" s="7" t="s">
        <v>264</v>
      </c>
      <c r="F9" s="7" t="s">
        <v>95</v>
      </c>
      <c r="G9" s="7" t="s">
        <v>265</v>
      </c>
      <c r="H9" s="7" t="s">
        <v>100</v>
      </c>
      <c r="I9" s="7"/>
      <c r="J9" s="7" t="s">
        <v>266</v>
      </c>
      <c r="K9" s="7" t="s">
        <v>100</v>
      </c>
      <c r="L9" s="7" t="s">
        <v>99</v>
      </c>
      <c r="M9" s="7" t="s">
        <v>267</v>
      </c>
    </row>
    <row r="10" spans="1:13" x14ac:dyDescent="0.3">
      <c r="A10" s="7" t="s">
        <v>275</v>
      </c>
      <c r="B10" s="7" t="s">
        <v>145</v>
      </c>
      <c r="C10" s="7" t="s">
        <v>146</v>
      </c>
      <c r="D10" s="7" t="s">
        <v>147</v>
      </c>
      <c r="E10" s="7" t="s">
        <v>264</v>
      </c>
      <c r="F10" s="7" t="s">
        <v>95</v>
      </c>
      <c r="G10" s="7" t="s">
        <v>265</v>
      </c>
      <c r="H10" s="7" t="s">
        <v>100</v>
      </c>
      <c r="I10" s="7"/>
      <c r="J10" s="7" t="s">
        <v>266</v>
      </c>
      <c r="K10" s="7" t="s">
        <v>100</v>
      </c>
      <c r="L10" s="7" t="s">
        <v>99</v>
      </c>
      <c r="M10" s="7" t="s">
        <v>267</v>
      </c>
    </row>
    <row r="11" spans="1:13" x14ac:dyDescent="0.3">
      <c r="A11" s="7" t="s">
        <v>276</v>
      </c>
      <c r="B11" s="7" t="s">
        <v>150</v>
      </c>
      <c r="C11" s="7" t="s">
        <v>151</v>
      </c>
      <c r="D11" s="7" t="s">
        <v>152</v>
      </c>
      <c r="E11" s="7" t="s">
        <v>264</v>
      </c>
      <c r="F11" s="7" t="s">
        <v>95</v>
      </c>
      <c r="G11" s="7" t="s">
        <v>265</v>
      </c>
      <c r="H11" s="7" t="s">
        <v>100</v>
      </c>
      <c r="I11" s="7"/>
      <c r="J11" s="7" t="s">
        <v>266</v>
      </c>
      <c r="K11" s="7" t="s">
        <v>100</v>
      </c>
      <c r="L11" s="7" t="s">
        <v>99</v>
      </c>
      <c r="M11" s="7" t="s">
        <v>267</v>
      </c>
    </row>
    <row r="12" spans="1:13" x14ac:dyDescent="0.3">
      <c r="A12" s="7" t="s">
        <v>277</v>
      </c>
      <c r="B12" s="7" t="s">
        <v>155</v>
      </c>
      <c r="C12" s="7" t="s">
        <v>156</v>
      </c>
      <c r="D12" s="7" t="s">
        <v>157</v>
      </c>
      <c r="E12" s="7" t="s">
        <v>264</v>
      </c>
      <c r="F12" s="7" t="s">
        <v>95</v>
      </c>
      <c r="G12" s="7" t="s">
        <v>265</v>
      </c>
      <c r="H12" s="7" t="s">
        <v>100</v>
      </c>
      <c r="I12" s="7"/>
      <c r="J12" s="7" t="s">
        <v>266</v>
      </c>
      <c r="K12" s="7" t="s">
        <v>100</v>
      </c>
      <c r="L12" s="7" t="s">
        <v>99</v>
      </c>
      <c r="M12" s="7" t="s">
        <v>267</v>
      </c>
    </row>
    <row r="13" spans="1:13" x14ac:dyDescent="0.3">
      <c r="A13" s="7" t="s">
        <v>278</v>
      </c>
      <c r="B13" s="7" t="s">
        <v>160</v>
      </c>
      <c r="C13" s="7" t="s">
        <v>161</v>
      </c>
      <c r="D13" s="7" t="s">
        <v>162</v>
      </c>
      <c r="E13" s="7" t="s">
        <v>264</v>
      </c>
      <c r="F13" s="7" t="s">
        <v>95</v>
      </c>
      <c r="G13" s="7" t="s">
        <v>265</v>
      </c>
      <c r="H13" s="7" t="s">
        <v>100</v>
      </c>
      <c r="I13" s="7"/>
      <c r="J13" s="7" t="s">
        <v>266</v>
      </c>
      <c r="K13" s="7" t="s">
        <v>100</v>
      </c>
      <c r="L13" s="7" t="s">
        <v>99</v>
      </c>
      <c r="M13" s="7" t="s">
        <v>267</v>
      </c>
    </row>
    <row r="14" spans="1:13" x14ac:dyDescent="0.3">
      <c r="A14" s="7" t="s">
        <v>279</v>
      </c>
      <c r="B14" s="7" t="s">
        <v>165</v>
      </c>
      <c r="C14" s="7" t="s">
        <v>166</v>
      </c>
      <c r="D14" s="7" t="s">
        <v>167</v>
      </c>
      <c r="E14" s="7" t="s">
        <v>264</v>
      </c>
      <c r="F14" s="7" t="s">
        <v>95</v>
      </c>
      <c r="G14" s="7" t="s">
        <v>265</v>
      </c>
      <c r="H14" s="7" t="s">
        <v>100</v>
      </c>
      <c r="I14" s="7"/>
      <c r="J14" s="7" t="s">
        <v>266</v>
      </c>
      <c r="K14" s="7" t="s">
        <v>100</v>
      </c>
      <c r="L14" s="7" t="s">
        <v>99</v>
      </c>
      <c r="M14" s="7" t="s">
        <v>267</v>
      </c>
    </row>
    <row r="15" spans="1:13" x14ac:dyDescent="0.3">
      <c r="A15" s="7" t="s">
        <v>280</v>
      </c>
      <c r="B15" s="7" t="s">
        <v>170</v>
      </c>
      <c r="C15" s="7" t="s">
        <v>171</v>
      </c>
      <c r="D15" s="7" t="s">
        <v>172</v>
      </c>
      <c r="E15" s="7" t="s">
        <v>264</v>
      </c>
      <c r="F15" s="7" t="s">
        <v>95</v>
      </c>
      <c r="G15" s="7" t="s">
        <v>265</v>
      </c>
      <c r="H15" s="7" t="s">
        <v>100</v>
      </c>
      <c r="I15" s="7"/>
      <c r="J15" s="7" t="s">
        <v>266</v>
      </c>
      <c r="K15" s="7" t="s">
        <v>100</v>
      </c>
      <c r="L15" s="7" t="s">
        <v>99</v>
      </c>
      <c r="M15" s="7" t="s">
        <v>267</v>
      </c>
    </row>
    <row r="16" spans="1:13" x14ac:dyDescent="0.3">
      <c r="A16" s="7" t="s">
        <v>281</v>
      </c>
      <c r="B16" s="7" t="s">
        <v>175</v>
      </c>
      <c r="C16" s="7" t="s">
        <v>176</v>
      </c>
      <c r="D16" s="7" t="s">
        <v>177</v>
      </c>
      <c r="E16" s="7" t="s">
        <v>264</v>
      </c>
      <c r="F16" s="7" t="s">
        <v>95</v>
      </c>
      <c r="G16" s="7" t="s">
        <v>265</v>
      </c>
      <c r="H16" s="7" t="s">
        <v>100</v>
      </c>
      <c r="I16" s="7"/>
      <c r="J16" s="7" t="s">
        <v>266</v>
      </c>
      <c r="K16" s="7" t="s">
        <v>100</v>
      </c>
      <c r="L16" s="7" t="s">
        <v>99</v>
      </c>
      <c r="M16" s="7" t="s">
        <v>267</v>
      </c>
    </row>
    <row r="17" spans="1:13" x14ac:dyDescent="0.3">
      <c r="A17" s="7" t="s">
        <v>282</v>
      </c>
      <c r="B17" s="7" t="s">
        <v>180</v>
      </c>
      <c r="C17" s="7" t="s">
        <v>181</v>
      </c>
      <c r="D17" s="7" t="s">
        <v>182</v>
      </c>
      <c r="E17" s="7" t="s">
        <v>264</v>
      </c>
      <c r="F17" s="7" t="s">
        <v>95</v>
      </c>
      <c r="G17" s="7" t="s">
        <v>265</v>
      </c>
      <c r="H17" s="7" t="s">
        <v>100</v>
      </c>
      <c r="I17" s="7"/>
      <c r="J17" s="7" t="s">
        <v>266</v>
      </c>
      <c r="K17" s="7" t="s">
        <v>100</v>
      </c>
      <c r="L17" s="7" t="s">
        <v>99</v>
      </c>
      <c r="M17" s="7" t="s">
        <v>267</v>
      </c>
    </row>
    <row r="18" spans="1:13" x14ac:dyDescent="0.3">
      <c r="A18" s="7" t="s">
        <v>283</v>
      </c>
      <c r="B18" s="7" t="s">
        <v>186</v>
      </c>
      <c r="C18" s="7" t="s">
        <v>187</v>
      </c>
      <c r="D18" s="7" t="s">
        <v>188</v>
      </c>
      <c r="E18" s="7" t="s">
        <v>264</v>
      </c>
      <c r="F18" s="7" t="s">
        <v>95</v>
      </c>
      <c r="G18" s="7" t="s">
        <v>265</v>
      </c>
      <c r="H18" s="7" t="s">
        <v>100</v>
      </c>
      <c r="I18" s="7"/>
      <c r="J18" s="7" t="s">
        <v>266</v>
      </c>
      <c r="K18" s="7" t="s">
        <v>100</v>
      </c>
      <c r="L18" s="7" t="s">
        <v>99</v>
      </c>
      <c r="M18" s="7" t="s">
        <v>267</v>
      </c>
    </row>
    <row r="19" spans="1:13" x14ac:dyDescent="0.3">
      <c r="A19" s="7" t="s">
        <v>284</v>
      </c>
      <c r="B19" s="7" t="s">
        <v>191</v>
      </c>
      <c r="C19" s="7" t="s">
        <v>192</v>
      </c>
      <c r="D19" s="7" t="s">
        <v>193</v>
      </c>
      <c r="E19" s="7" t="s">
        <v>264</v>
      </c>
      <c r="F19" s="7" t="s">
        <v>95</v>
      </c>
      <c r="G19" s="7" t="s">
        <v>265</v>
      </c>
      <c r="H19" s="7" t="s">
        <v>100</v>
      </c>
      <c r="I19" s="7"/>
      <c r="J19" s="7" t="s">
        <v>266</v>
      </c>
      <c r="K19" s="7" t="s">
        <v>100</v>
      </c>
      <c r="L19" s="7" t="s">
        <v>99</v>
      </c>
      <c r="M19" s="7" t="s">
        <v>267</v>
      </c>
    </row>
    <row r="20" spans="1:13" x14ac:dyDescent="0.3">
      <c r="A20" s="7" t="s">
        <v>285</v>
      </c>
      <c r="B20" s="7" t="s">
        <v>196</v>
      </c>
      <c r="C20" s="7" t="s">
        <v>197</v>
      </c>
      <c r="D20" s="7" t="s">
        <v>198</v>
      </c>
      <c r="E20" s="7" t="s">
        <v>264</v>
      </c>
      <c r="F20" s="7" t="s">
        <v>95</v>
      </c>
      <c r="G20" s="7" t="s">
        <v>265</v>
      </c>
      <c r="H20" s="7" t="s">
        <v>100</v>
      </c>
      <c r="I20" s="7"/>
      <c r="J20" s="7" t="s">
        <v>266</v>
      </c>
      <c r="K20" s="7" t="s">
        <v>100</v>
      </c>
      <c r="L20" s="7" t="s">
        <v>99</v>
      </c>
      <c r="M20" s="7" t="s">
        <v>267</v>
      </c>
    </row>
    <row r="21" spans="1:13" x14ac:dyDescent="0.3">
      <c r="A21" s="7" t="s">
        <v>286</v>
      </c>
      <c r="B21" s="7" t="s">
        <v>201</v>
      </c>
      <c r="C21" s="7" t="s">
        <v>202</v>
      </c>
      <c r="D21" s="7" t="s">
        <v>203</v>
      </c>
      <c r="E21" s="7" t="s">
        <v>264</v>
      </c>
      <c r="F21" s="7" t="s">
        <v>95</v>
      </c>
      <c r="G21" s="7" t="s">
        <v>265</v>
      </c>
      <c r="H21" s="7" t="s">
        <v>100</v>
      </c>
      <c r="I21" s="7"/>
      <c r="J21" s="7" t="s">
        <v>266</v>
      </c>
      <c r="K21" s="7" t="s">
        <v>100</v>
      </c>
      <c r="L21" s="7" t="s">
        <v>99</v>
      </c>
      <c r="M21" s="7" t="s">
        <v>267</v>
      </c>
    </row>
    <row r="22" spans="1:13" x14ac:dyDescent="0.3">
      <c r="A22" s="7" t="s">
        <v>287</v>
      </c>
      <c r="B22" s="7" t="s">
        <v>206</v>
      </c>
      <c r="C22" s="7" t="s">
        <v>207</v>
      </c>
      <c r="D22" s="7" t="s">
        <v>208</v>
      </c>
      <c r="E22" s="7" t="s">
        <v>264</v>
      </c>
      <c r="F22" s="7" t="s">
        <v>95</v>
      </c>
      <c r="G22" s="7" t="s">
        <v>265</v>
      </c>
      <c r="H22" s="7" t="s">
        <v>100</v>
      </c>
      <c r="I22" s="7"/>
      <c r="J22" s="7" t="s">
        <v>266</v>
      </c>
      <c r="K22" s="7" t="s">
        <v>100</v>
      </c>
      <c r="L22" s="7" t="s">
        <v>99</v>
      </c>
      <c r="M22" s="7" t="s">
        <v>267</v>
      </c>
    </row>
    <row r="23" spans="1:13" x14ac:dyDescent="0.3">
      <c r="A23" s="7" t="s">
        <v>288</v>
      </c>
      <c r="B23" s="7" t="s">
        <v>211</v>
      </c>
      <c r="C23" s="7" t="s">
        <v>212</v>
      </c>
      <c r="D23" s="7" t="s">
        <v>213</v>
      </c>
      <c r="E23" s="7" t="s">
        <v>264</v>
      </c>
      <c r="F23" s="7" t="s">
        <v>95</v>
      </c>
      <c r="G23" s="7" t="s">
        <v>265</v>
      </c>
      <c r="H23" s="7" t="s">
        <v>100</v>
      </c>
      <c r="I23" s="7"/>
      <c r="J23" s="7" t="s">
        <v>266</v>
      </c>
      <c r="K23" s="7" t="s">
        <v>100</v>
      </c>
      <c r="L23" s="7" t="s">
        <v>99</v>
      </c>
      <c r="M23" s="7" t="s">
        <v>267</v>
      </c>
    </row>
    <row r="24" spans="1:13" x14ac:dyDescent="0.3">
      <c r="A24" s="7" t="s">
        <v>289</v>
      </c>
      <c r="B24" s="7" t="s">
        <v>216</v>
      </c>
      <c r="C24" s="7" t="s">
        <v>217</v>
      </c>
      <c r="D24" s="7" t="s">
        <v>218</v>
      </c>
      <c r="E24" s="7" t="s">
        <v>264</v>
      </c>
      <c r="F24" s="7" t="s">
        <v>95</v>
      </c>
      <c r="G24" s="7" t="s">
        <v>265</v>
      </c>
      <c r="H24" s="7" t="s">
        <v>100</v>
      </c>
      <c r="I24" s="7"/>
      <c r="J24" s="7" t="s">
        <v>266</v>
      </c>
      <c r="K24" s="7" t="s">
        <v>100</v>
      </c>
      <c r="L24" s="7" t="s">
        <v>99</v>
      </c>
      <c r="M24" s="7" t="s">
        <v>267</v>
      </c>
    </row>
    <row r="25" spans="1:13" x14ac:dyDescent="0.3">
      <c r="A25" s="7" t="s">
        <v>290</v>
      </c>
      <c r="B25" s="7" t="s">
        <v>221</v>
      </c>
      <c r="C25" s="7" t="s">
        <v>222</v>
      </c>
      <c r="D25" s="7" t="s">
        <v>223</v>
      </c>
      <c r="E25" s="7" t="s">
        <v>264</v>
      </c>
      <c r="F25" s="7" t="s">
        <v>95</v>
      </c>
      <c r="G25" s="7" t="s">
        <v>265</v>
      </c>
      <c r="H25" s="7" t="s">
        <v>100</v>
      </c>
      <c r="I25" s="7"/>
      <c r="J25" s="7" t="s">
        <v>266</v>
      </c>
      <c r="K25" s="7" t="s">
        <v>100</v>
      </c>
      <c r="L25" s="7" t="s">
        <v>99</v>
      </c>
      <c r="M25" s="7" t="s">
        <v>267</v>
      </c>
    </row>
    <row r="26" spans="1:13" x14ac:dyDescent="0.3">
      <c r="A26" s="7" t="s">
        <v>291</v>
      </c>
      <c r="B26" s="7" t="s">
        <v>226</v>
      </c>
      <c r="C26" s="7" t="s">
        <v>227</v>
      </c>
      <c r="D26" s="7" t="s">
        <v>228</v>
      </c>
      <c r="E26" s="7" t="s">
        <v>264</v>
      </c>
      <c r="F26" s="7" t="s">
        <v>95</v>
      </c>
      <c r="G26" s="7" t="s">
        <v>265</v>
      </c>
      <c r="H26" s="7" t="s">
        <v>100</v>
      </c>
      <c r="I26" s="7"/>
      <c r="J26" s="7" t="s">
        <v>266</v>
      </c>
      <c r="K26" s="7" t="s">
        <v>100</v>
      </c>
      <c r="L26" s="7" t="s">
        <v>99</v>
      </c>
      <c r="M26" s="7" t="s">
        <v>267</v>
      </c>
    </row>
    <row r="27" spans="1:13" x14ac:dyDescent="0.3">
      <c r="A27" s="7" t="s">
        <v>292</v>
      </c>
      <c r="B27" s="7" t="s">
        <v>231</v>
      </c>
      <c r="C27" s="7" t="s">
        <v>232</v>
      </c>
      <c r="D27" s="7" t="s">
        <v>233</v>
      </c>
      <c r="E27" s="7" t="s">
        <v>264</v>
      </c>
      <c r="F27" s="7" t="s">
        <v>95</v>
      </c>
      <c r="G27" s="7" t="s">
        <v>265</v>
      </c>
      <c r="H27" s="7" t="s">
        <v>100</v>
      </c>
      <c r="I27" s="7"/>
      <c r="J27" s="7" t="s">
        <v>266</v>
      </c>
      <c r="K27" s="7" t="s">
        <v>100</v>
      </c>
      <c r="L27" s="7" t="s">
        <v>99</v>
      </c>
      <c r="M27" s="7" t="s">
        <v>267</v>
      </c>
    </row>
    <row r="28" spans="1:13" x14ac:dyDescent="0.3">
      <c r="A28" s="7" t="s">
        <v>293</v>
      </c>
      <c r="B28" s="7" t="s">
        <v>236</v>
      </c>
      <c r="C28" s="7" t="s">
        <v>237</v>
      </c>
      <c r="D28" s="7" t="s">
        <v>238</v>
      </c>
      <c r="E28" s="7" t="s">
        <v>264</v>
      </c>
      <c r="F28" s="7" t="s">
        <v>95</v>
      </c>
      <c r="G28" s="7" t="s">
        <v>265</v>
      </c>
      <c r="H28" s="7" t="s">
        <v>100</v>
      </c>
      <c r="I28" s="7"/>
      <c r="J28" s="7" t="s">
        <v>266</v>
      </c>
      <c r="K28" s="7" t="s">
        <v>100</v>
      </c>
      <c r="L28" s="7" t="s">
        <v>99</v>
      </c>
      <c r="M28" s="7" t="s">
        <v>267</v>
      </c>
    </row>
    <row r="29" spans="1:13" x14ac:dyDescent="0.3">
      <c r="A29" s="7" t="s">
        <v>294</v>
      </c>
      <c r="B29" s="7" t="s">
        <v>241</v>
      </c>
      <c r="C29" s="7" t="s">
        <v>242</v>
      </c>
      <c r="D29" s="7" t="s">
        <v>243</v>
      </c>
      <c r="E29" s="7" t="s">
        <v>264</v>
      </c>
      <c r="F29" s="7" t="s">
        <v>95</v>
      </c>
      <c r="G29" s="7" t="s">
        <v>265</v>
      </c>
      <c r="H29" s="7" t="s">
        <v>100</v>
      </c>
      <c r="I29" s="7"/>
      <c r="J29" s="7" t="s">
        <v>266</v>
      </c>
      <c r="K29" s="7" t="s">
        <v>100</v>
      </c>
      <c r="L29" s="7" t="s">
        <v>99</v>
      </c>
      <c r="M29" s="7" t="s">
        <v>267</v>
      </c>
    </row>
    <row r="30" spans="1:13" x14ac:dyDescent="0.3">
      <c r="A30" s="7" t="s">
        <v>295</v>
      </c>
      <c r="B30" s="7" t="s">
        <v>246</v>
      </c>
      <c r="C30" s="7" t="s">
        <v>247</v>
      </c>
      <c r="D30" s="7" t="s">
        <v>248</v>
      </c>
      <c r="E30" s="7" t="s">
        <v>264</v>
      </c>
      <c r="F30" s="7" t="s">
        <v>95</v>
      </c>
      <c r="G30" s="7" t="s">
        <v>265</v>
      </c>
      <c r="H30" s="7" t="s">
        <v>100</v>
      </c>
      <c r="I30" s="7"/>
      <c r="J30" s="7" t="s">
        <v>266</v>
      </c>
      <c r="K30" s="7" t="s">
        <v>100</v>
      </c>
      <c r="L30" s="7" t="s">
        <v>99</v>
      </c>
      <c r="M30" s="7" t="s">
        <v>267</v>
      </c>
    </row>
    <row r="31" spans="1:13" x14ac:dyDescent="0.3">
      <c r="A31" s="7" t="s">
        <v>296</v>
      </c>
      <c r="B31" s="7" t="s">
        <v>251</v>
      </c>
      <c r="C31" s="7" t="s">
        <v>252</v>
      </c>
      <c r="D31" s="7" t="s">
        <v>253</v>
      </c>
      <c r="E31" s="7" t="s">
        <v>264</v>
      </c>
      <c r="F31" s="7" t="s">
        <v>95</v>
      </c>
      <c r="G31" s="7" t="s">
        <v>265</v>
      </c>
      <c r="H31" s="7" t="s">
        <v>100</v>
      </c>
      <c r="I31" s="7"/>
      <c r="J31" s="7" t="s">
        <v>266</v>
      </c>
      <c r="K31" s="7" t="s">
        <v>100</v>
      </c>
      <c r="L31" s="7" t="s">
        <v>99</v>
      </c>
      <c r="M31" s="7" t="s">
        <v>267</v>
      </c>
    </row>
  </sheetData>
  <dataValidations count="1">
    <dataValidation type="list" allowBlank="1" sqref="H2:H31" xr:uid="{00000000-0002-0000-0300-000000000000}">
      <formula1>"Pending,Approved,Conditionally Approved,Rejected,Expired"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S31"/>
  <sheetViews>
    <sheetView showGridLines="0" workbookViewId="0">
      <pane ySplit="1" topLeftCell="A2" activePane="bottomLeft" state="frozen"/>
      <selection pane="bottomLeft" activeCell="E21" activeCellId="1" sqref="A1 A2:S31"/>
    </sheetView>
  </sheetViews>
  <sheetFormatPr defaultRowHeight="14.4" x14ac:dyDescent="0.3"/>
  <cols>
    <col min="1" max="2" width="18" customWidth="1"/>
    <col min="3" max="3" width="13" customWidth="1"/>
    <col min="4" max="4" width="30" customWidth="1"/>
    <col min="5" max="6" width="22" customWidth="1"/>
    <col min="7" max="8" width="18" customWidth="1"/>
    <col min="9" max="9" width="25" customWidth="1"/>
    <col min="10" max="10" width="22" customWidth="1"/>
    <col min="11" max="12" width="24" customWidth="1"/>
    <col min="13" max="13" width="18" customWidth="1"/>
    <col min="14" max="14" width="22" customWidth="1"/>
    <col min="15" max="15" width="16" customWidth="1"/>
    <col min="16" max="16" width="24" customWidth="1"/>
    <col min="17" max="17" width="60" customWidth="1"/>
    <col min="18" max="18" width="45" customWidth="1"/>
    <col min="19" max="19" width="50" customWidth="1"/>
  </cols>
  <sheetData>
    <row r="1" spans="1:19" x14ac:dyDescent="0.3">
      <c r="A1" s="6" t="s">
        <v>297</v>
      </c>
      <c r="B1" s="1" t="s">
        <v>36</v>
      </c>
      <c r="C1" s="1" t="s">
        <v>37</v>
      </c>
      <c r="D1" s="1" t="s">
        <v>38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260</v>
      </c>
      <c r="Q1" s="1" t="s">
        <v>309</v>
      </c>
      <c r="R1" s="1" t="s">
        <v>74</v>
      </c>
      <c r="S1" s="1" t="s">
        <v>78</v>
      </c>
    </row>
    <row r="2" spans="1:19" x14ac:dyDescent="0.3">
      <c r="A2" s="7" t="s">
        <v>310</v>
      </c>
      <c r="B2" s="7" t="s">
        <v>79</v>
      </c>
      <c r="C2" s="7" t="s">
        <v>80</v>
      </c>
      <c r="D2" s="7" t="s">
        <v>81</v>
      </c>
      <c r="E2" s="7" t="s">
        <v>100</v>
      </c>
      <c r="F2" s="7" t="s">
        <v>100</v>
      </c>
      <c r="G2" s="7" t="s">
        <v>311</v>
      </c>
      <c r="H2" s="7" t="s">
        <v>106</v>
      </c>
      <c r="I2" s="7" t="s">
        <v>106</v>
      </c>
      <c r="J2" s="7" t="s">
        <v>88</v>
      </c>
      <c r="K2" s="7" t="s">
        <v>100</v>
      </c>
      <c r="L2" s="7" t="s">
        <v>100</v>
      </c>
      <c r="M2" s="7" t="s">
        <v>97</v>
      </c>
      <c r="N2" s="7" t="s">
        <v>312</v>
      </c>
      <c r="O2" s="7"/>
      <c r="P2" s="7" t="s">
        <v>100</v>
      </c>
      <c r="Q2" s="7" t="s">
        <v>313</v>
      </c>
      <c r="R2" s="7" t="s">
        <v>100</v>
      </c>
      <c r="S2" s="7" t="s">
        <v>314</v>
      </c>
    </row>
    <row r="3" spans="1:19" x14ac:dyDescent="0.3">
      <c r="A3" s="7" t="s">
        <v>315</v>
      </c>
      <c r="B3" s="7" t="s">
        <v>108</v>
      </c>
      <c r="C3" s="7" t="s">
        <v>109</v>
      </c>
      <c r="D3" s="7" t="s">
        <v>110</v>
      </c>
      <c r="E3" s="7" t="s">
        <v>100</v>
      </c>
      <c r="F3" s="7" t="s">
        <v>100</v>
      </c>
      <c r="G3" s="7" t="s">
        <v>311</v>
      </c>
      <c r="H3" s="7" t="s">
        <v>106</v>
      </c>
      <c r="I3" s="7" t="s">
        <v>106</v>
      </c>
      <c r="J3" s="7" t="s">
        <v>88</v>
      </c>
      <c r="K3" s="7" t="s">
        <v>100</v>
      </c>
      <c r="L3" s="7" t="s">
        <v>100</v>
      </c>
      <c r="M3" s="7" t="s">
        <v>97</v>
      </c>
      <c r="N3" s="7" t="s">
        <v>312</v>
      </c>
      <c r="O3" s="7"/>
      <c r="P3" s="7" t="s">
        <v>100</v>
      </c>
      <c r="Q3" s="7" t="s">
        <v>313</v>
      </c>
      <c r="R3" s="7" t="s">
        <v>100</v>
      </c>
      <c r="S3" s="7" t="s">
        <v>314</v>
      </c>
    </row>
    <row r="4" spans="1:19" x14ac:dyDescent="0.3">
      <c r="A4" s="7" t="s">
        <v>316</v>
      </c>
      <c r="B4" s="7" t="s">
        <v>115</v>
      </c>
      <c r="C4" s="7" t="s">
        <v>116</v>
      </c>
      <c r="D4" s="7" t="s">
        <v>117</v>
      </c>
      <c r="E4" s="7" t="s">
        <v>100</v>
      </c>
      <c r="F4" s="7" t="s">
        <v>100</v>
      </c>
      <c r="G4" s="7" t="s">
        <v>311</v>
      </c>
      <c r="H4" s="7" t="s">
        <v>106</v>
      </c>
      <c r="I4" s="7" t="s">
        <v>106</v>
      </c>
      <c r="J4" s="7" t="s">
        <v>88</v>
      </c>
      <c r="K4" s="7" t="s">
        <v>100</v>
      </c>
      <c r="L4" s="7" t="s">
        <v>100</v>
      </c>
      <c r="M4" s="7" t="s">
        <v>97</v>
      </c>
      <c r="N4" s="7" t="s">
        <v>312</v>
      </c>
      <c r="O4" s="7"/>
      <c r="P4" s="7" t="s">
        <v>100</v>
      </c>
      <c r="Q4" s="7" t="s">
        <v>313</v>
      </c>
      <c r="R4" s="7" t="s">
        <v>100</v>
      </c>
      <c r="S4" s="7" t="s">
        <v>314</v>
      </c>
    </row>
    <row r="5" spans="1:19" x14ac:dyDescent="0.3">
      <c r="A5" s="7" t="s">
        <v>317</v>
      </c>
      <c r="B5" s="7" t="s">
        <v>120</v>
      </c>
      <c r="C5" s="7" t="s">
        <v>121</v>
      </c>
      <c r="D5" s="7" t="s">
        <v>122</v>
      </c>
      <c r="E5" s="7" t="s">
        <v>100</v>
      </c>
      <c r="F5" s="7" t="s">
        <v>100</v>
      </c>
      <c r="G5" s="7" t="s">
        <v>311</v>
      </c>
      <c r="H5" s="7" t="s">
        <v>106</v>
      </c>
      <c r="I5" s="7" t="s">
        <v>106</v>
      </c>
      <c r="J5" s="7" t="s">
        <v>88</v>
      </c>
      <c r="K5" s="7" t="s">
        <v>100</v>
      </c>
      <c r="L5" s="7" t="s">
        <v>100</v>
      </c>
      <c r="M5" s="7" t="s">
        <v>97</v>
      </c>
      <c r="N5" s="7" t="s">
        <v>312</v>
      </c>
      <c r="O5" s="7"/>
      <c r="P5" s="7" t="s">
        <v>100</v>
      </c>
      <c r="Q5" s="7" t="s">
        <v>313</v>
      </c>
      <c r="R5" s="7" t="s">
        <v>100</v>
      </c>
      <c r="S5" s="7" t="s">
        <v>314</v>
      </c>
    </row>
    <row r="6" spans="1:19" x14ac:dyDescent="0.3">
      <c r="A6" s="7" t="s">
        <v>318</v>
      </c>
      <c r="B6" s="7" t="s">
        <v>125</v>
      </c>
      <c r="C6" s="7" t="s">
        <v>126</v>
      </c>
      <c r="D6" s="7" t="s">
        <v>127</v>
      </c>
      <c r="E6" s="7" t="s">
        <v>100</v>
      </c>
      <c r="F6" s="7" t="s">
        <v>100</v>
      </c>
      <c r="G6" s="7" t="s">
        <v>311</v>
      </c>
      <c r="H6" s="7" t="s">
        <v>106</v>
      </c>
      <c r="I6" s="7" t="s">
        <v>106</v>
      </c>
      <c r="J6" s="7" t="s">
        <v>88</v>
      </c>
      <c r="K6" s="7" t="s">
        <v>100</v>
      </c>
      <c r="L6" s="7" t="s">
        <v>100</v>
      </c>
      <c r="M6" s="7" t="s">
        <v>97</v>
      </c>
      <c r="N6" s="7" t="s">
        <v>312</v>
      </c>
      <c r="O6" s="7"/>
      <c r="P6" s="7" t="s">
        <v>100</v>
      </c>
      <c r="Q6" s="7" t="s">
        <v>313</v>
      </c>
      <c r="R6" s="7" t="s">
        <v>100</v>
      </c>
      <c r="S6" s="7" t="s">
        <v>314</v>
      </c>
    </row>
    <row r="7" spans="1:19" x14ac:dyDescent="0.3">
      <c r="A7" s="7" t="s">
        <v>319</v>
      </c>
      <c r="B7" s="7" t="s">
        <v>130</v>
      </c>
      <c r="C7" s="7" t="s">
        <v>131</v>
      </c>
      <c r="D7" s="7" t="s">
        <v>132</v>
      </c>
      <c r="E7" s="7" t="s">
        <v>100</v>
      </c>
      <c r="F7" s="7" t="s">
        <v>100</v>
      </c>
      <c r="G7" s="7" t="s">
        <v>311</v>
      </c>
      <c r="H7" s="7" t="s">
        <v>106</v>
      </c>
      <c r="I7" s="7" t="s">
        <v>106</v>
      </c>
      <c r="J7" s="7" t="s">
        <v>88</v>
      </c>
      <c r="K7" s="7" t="s">
        <v>100</v>
      </c>
      <c r="L7" s="7" t="s">
        <v>100</v>
      </c>
      <c r="M7" s="7" t="s">
        <v>97</v>
      </c>
      <c r="N7" s="7" t="s">
        <v>312</v>
      </c>
      <c r="O7" s="7"/>
      <c r="P7" s="7" t="s">
        <v>100</v>
      </c>
      <c r="Q7" s="7" t="s">
        <v>313</v>
      </c>
      <c r="R7" s="7" t="s">
        <v>100</v>
      </c>
      <c r="S7" s="7" t="s">
        <v>314</v>
      </c>
    </row>
    <row r="8" spans="1:19" x14ac:dyDescent="0.3">
      <c r="A8" s="7" t="s">
        <v>320</v>
      </c>
      <c r="B8" s="7" t="s">
        <v>135</v>
      </c>
      <c r="C8" s="7" t="s">
        <v>136</v>
      </c>
      <c r="D8" s="7" t="s">
        <v>137</v>
      </c>
      <c r="E8" s="7" t="s">
        <v>100</v>
      </c>
      <c r="F8" s="7" t="s">
        <v>100</v>
      </c>
      <c r="G8" s="7" t="s">
        <v>311</v>
      </c>
      <c r="H8" s="7" t="s">
        <v>106</v>
      </c>
      <c r="I8" s="7" t="s">
        <v>106</v>
      </c>
      <c r="J8" s="7" t="s">
        <v>88</v>
      </c>
      <c r="K8" s="7" t="s">
        <v>100</v>
      </c>
      <c r="L8" s="7" t="s">
        <v>100</v>
      </c>
      <c r="M8" s="7" t="s">
        <v>97</v>
      </c>
      <c r="N8" s="7" t="s">
        <v>312</v>
      </c>
      <c r="O8" s="7"/>
      <c r="P8" s="7" t="s">
        <v>100</v>
      </c>
      <c r="Q8" s="7" t="s">
        <v>313</v>
      </c>
      <c r="R8" s="7" t="s">
        <v>100</v>
      </c>
      <c r="S8" s="7" t="s">
        <v>314</v>
      </c>
    </row>
    <row r="9" spans="1:19" x14ac:dyDescent="0.3">
      <c r="A9" s="7" t="s">
        <v>321</v>
      </c>
      <c r="B9" s="7" t="s">
        <v>140</v>
      </c>
      <c r="C9" s="7" t="s">
        <v>141</v>
      </c>
      <c r="D9" s="7" t="s">
        <v>142</v>
      </c>
      <c r="E9" s="7" t="s">
        <v>100</v>
      </c>
      <c r="F9" s="7" t="s">
        <v>100</v>
      </c>
      <c r="G9" s="7" t="s">
        <v>311</v>
      </c>
      <c r="H9" s="7" t="s">
        <v>106</v>
      </c>
      <c r="I9" s="7" t="s">
        <v>106</v>
      </c>
      <c r="J9" s="7" t="s">
        <v>88</v>
      </c>
      <c r="K9" s="7" t="s">
        <v>100</v>
      </c>
      <c r="L9" s="7" t="s">
        <v>100</v>
      </c>
      <c r="M9" s="7" t="s">
        <v>97</v>
      </c>
      <c r="N9" s="7" t="s">
        <v>312</v>
      </c>
      <c r="O9" s="7"/>
      <c r="P9" s="7" t="s">
        <v>100</v>
      </c>
      <c r="Q9" s="7" t="s">
        <v>313</v>
      </c>
      <c r="R9" s="7" t="s">
        <v>100</v>
      </c>
      <c r="S9" s="7" t="s">
        <v>314</v>
      </c>
    </row>
    <row r="10" spans="1:19" x14ac:dyDescent="0.3">
      <c r="A10" s="7" t="s">
        <v>322</v>
      </c>
      <c r="B10" s="7" t="s">
        <v>145</v>
      </c>
      <c r="C10" s="7" t="s">
        <v>146</v>
      </c>
      <c r="D10" s="7" t="s">
        <v>147</v>
      </c>
      <c r="E10" s="7" t="s">
        <v>100</v>
      </c>
      <c r="F10" s="7" t="s">
        <v>100</v>
      </c>
      <c r="G10" s="7" t="s">
        <v>311</v>
      </c>
      <c r="H10" s="7" t="s">
        <v>106</v>
      </c>
      <c r="I10" s="7" t="s">
        <v>106</v>
      </c>
      <c r="J10" s="7" t="s">
        <v>88</v>
      </c>
      <c r="K10" s="7" t="s">
        <v>100</v>
      </c>
      <c r="L10" s="7" t="s">
        <v>100</v>
      </c>
      <c r="M10" s="7" t="s">
        <v>97</v>
      </c>
      <c r="N10" s="7" t="s">
        <v>312</v>
      </c>
      <c r="O10" s="7"/>
      <c r="P10" s="7" t="s">
        <v>100</v>
      </c>
      <c r="Q10" s="7" t="s">
        <v>313</v>
      </c>
      <c r="R10" s="7" t="s">
        <v>100</v>
      </c>
      <c r="S10" s="7" t="s">
        <v>314</v>
      </c>
    </row>
    <row r="11" spans="1:19" x14ac:dyDescent="0.3">
      <c r="A11" s="7" t="s">
        <v>323</v>
      </c>
      <c r="B11" s="7" t="s">
        <v>150</v>
      </c>
      <c r="C11" s="7" t="s">
        <v>151</v>
      </c>
      <c r="D11" s="7" t="s">
        <v>152</v>
      </c>
      <c r="E11" s="7" t="s">
        <v>100</v>
      </c>
      <c r="F11" s="7" t="s">
        <v>100</v>
      </c>
      <c r="G11" s="7" t="s">
        <v>311</v>
      </c>
      <c r="H11" s="7" t="s">
        <v>106</v>
      </c>
      <c r="I11" s="7" t="s">
        <v>106</v>
      </c>
      <c r="J11" s="7" t="s">
        <v>88</v>
      </c>
      <c r="K11" s="7" t="s">
        <v>100</v>
      </c>
      <c r="L11" s="7" t="s">
        <v>100</v>
      </c>
      <c r="M11" s="7" t="s">
        <v>97</v>
      </c>
      <c r="N11" s="7" t="s">
        <v>312</v>
      </c>
      <c r="O11" s="7"/>
      <c r="P11" s="7" t="s">
        <v>100</v>
      </c>
      <c r="Q11" s="7" t="s">
        <v>313</v>
      </c>
      <c r="R11" s="7" t="s">
        <v>100</v>
      </c>
      <c r="S11" s="7" t="s">
        <v>314</v>
      </c>
    </row>
    <row r="12" spans="1:19" x14ac:dyDescent="0.3">
      <c r="A12" s="7" t="s">
        <v>324</v>
      </c>
      <c r="B12" s="7" t="s">
        <v>155</v>
      </c>
      <c r="C12" s="7" t="s">
        <v>156</v>
      </c>
      <c r="D12" s="7" t="s">
        <v>157</v>
      </c>
      <c r="E12" s="7" t="s">
        <v>100</v>
      </c>
      <c r="F12" s="7" t="s">
        <v>100</v>
      </c>
      <c r="G12" s="7" t="s">
        <v>311</v>
      </c>
      <c r="H12" s="7" t="s">
        <v>106</v>
      </c>
      <c r="I12" s="7" t="s">
        <v>106</v>
      </c>
      <c r="J12" s="7" t="s">
        <v>88</v>
      </c>
      <c r="K12" s="7" t="s">
        <v>100</v>
      </c>
      <c r="L12" s="7" t="s">
        <v>100</v>
      </c>
      <c r="M12" s="7" t="s">
        <v>97</v>
      </c>
      <c r="N12" s="7" t="s">
        <v>312</v>
      </c>
      <c r="O12" s="7"/>
      <c r="P12" s="7" t="s">
        <v>100</v>
      </c>
      <c r="Q12" s="7" t="s">
        <v>313</v>
      </c>
      <c r="R12" s="7" t="s">
        <v>100</v>
      </c>
      <c r="S12" s="7" t="s">
        <v>314</v>
      </c>
    </row>
    <row r="13" spans="1:19" x14ac:dyDescent="0.3">
      <c r="A13" s="7" t="s">
        <v>325</v>
      </c>
      <c r="B13" s="7" t="s">
        <v>160</v>
      </c>
      <c r="C13" s="7" t="s">
        <v>161</v>
      </c>
      <c r="D13" s="7" t="s">
        <v>162</v>
      </c>
      <c r="E13" s="7" t="s">
        <v>100</v>
      </c>
      <c r="F13" s="7" t="s">
        <v>100</v>
      </c>
      <c r="G13" s="7" t="s">
        <v>311</v>
      </c>
      <c r="H13" s="7" t="s">
        <v>106</v>
      </c>
      <c r="I13" s="7" t="s">
        <v>106</v>
      </c>
      <c r="J13" s="7" t="s">
        <v>88</v>
      </c>
      <c r="K13" s="7" t="s">
        <v>100</v>
      </c>
      <c r="L13" s="7" t="s">
        <v>100</v>
      </c>
      <c r="M13" s="7" t="s">
        <v>97</v>
      </c>
      <c r="N13" s="7" t="s">
        <v>312</v>
      </c>
      <c r="O13" s="7"/>
      <c r="P13" s="7" t="s">
        <v>100</v>
      </c>
      <c r="Q13" s="7" t="s">
        <v>313</v>
      </c>
      <c r="R13" s="7" t="s">
        <v>100</v>
      </c>
      <c r="S13" s="7" t="s">
        <v>314</v>
      </c>
    </row>
    <row r="14" spans="1:19" x14ac:dyDescent="0.3">
      <c r="A14" s="7" t="s">
        <v>326</v>
      </c>
      <c r="B14" s="7" t="s">
        <v>165</v>
      </c>
      <c r="C14" s="7" t="s">
        <v>166</v>
      </c>
      <c r="D14" s="7" t="s">
        <v>167</v>
      </c>
      <c r="E14" s="7" t="s">
        <v>100</v>
      </c>
      <c r="F14" s="7" t="s">
        <v>100</v>
      </c>
      <c r="G14" s="7" t="s">
        <v>311</v>
      </c>
      <c r="H14" s="7" t="s">
        <v>106</v>
      </c>
      <c r="I14" s="7" t="s">
        <v>106</v>
      </c>
      <c r="J14" s="7" t="s">
        <v>88</v>
      </c>
      <c r="K14" s="7" t="s">
        <v>100</v>
      </c>
      <c r="L14" s="7" t="s">
        <v>100</v>
      </c>
      <c r="M14" s="7" t="s">
        <v>97</v>
      </c>
      <c r="N14" s="7" t="s">
        <v>312</v>
      </c>
      <c r="O14" s="7"/>
      <c r="P14" s="7" t="s">
        <v>100</v>
      </c>
      <c r="Q14" s="7" t="s">
        <v>313</v>
      </c>
      <c r="R14" s="7" t="s">
        <v>100</v>
      </c>
      <c r="S14" s="7" t="s">
        <v>314</v>
      </c>
    </row>
    <row r="15" spans="1:19" x14ac:dyDescent="0.3">
      <c r="A15" s="7" t="s">
        <v>327</v>
      </c>
      <c r="B15" s="7" t="s">
        <v>170</v>
      </c>
      <c r="C15" s="7" t="s">
        <v>171</v>
      </c>
      <c r="D15" s="7" t="s">
        <v>172</v>
      </c>
      <c r="E15" s="7" t="s">
        <v>100</v>
      </c>
      <c r="F15" s="7" t="s">
        <v>100</v>
      </c>
      <c r="G15" s="7" t="s">
        <v>311</v>
      </c>
      <c r="H15" s="7" t="s">
        <v>106</v>
      </c>
      <c r="I15" s="7" t="s">
        <v>106</v>
      </c>
      <c r="J15" s="7" t="s">
        <v>88</v>
      </c>
      <c r="K15" s="7" t="s">
        <v>100</v>
      </c>
      <c r="L15" s="7" t="s">
        <v>100</v>
      </c>
      <c r="M15" s="7" t="s">
        <v>97</v>
      </c>
      <c r="N15" s="7" t="s">
        <v>312</v>
      </c>
      <c r="O15" s="7"/>
      <c r="P15" s="7" t="s">
        <v>100</v>
      </c>
      <c r="Q15" s="7" t="s">
        <v>313</v>
      </c>
      <c r="R15" s="7" t="s">
        <v>100</v>
      </c>
      <c r="S15" s="7" t="s">
        <v>314</v>
      </c>
    </row>
    <row r="16" spans="1:19" x14ac:dyDescent="0.3">
      <c r="A16" s="7" t="s">
        <v>328</v>
      </c>
      <c r="B16" s="7" t="s">
        <v>175</v>
      </c>
      <c r="C16" s="7" t="s">
        <v>176</v>
      </c>
      <c r="D16" s="7" t="s">
        <v>177</v>
      </c>
      <c r="E16" s="7" t="s">
        <v>100</v>
      </c>
      <c r="F16" s="7" t="s">
        <v>100</v>
      </c>
      <c r="G16" s="7" t="s">
        <v>311</v>
      </c>
      <c r="H16" s="7" t="s">
        <v>106</v>
      </c>
      <c r="I16" s="7" t="s">
        <v>106</v>
      </c>
      <c r="J16" s="7" t="s">
        <v>88</v>
      </c>
      <c r="K16" s="7" t="s">
        <v>100</v>
      </c>
      <c r="L16" s="7" t="s">
        <v>100</v>
      </c>
      <c r="M16" s="7" t="s">
        <v>97</v>
      </c>
      <c r="N16" s="7" t="s">
        <v>312</v>
      </c>
      <c r="O16" s="7"/>
      <c r="P16" s="7" t="s">
        <v>100</v>
      </c>
      <c r="Q16" s="7" t="s">
        <v>313</v>
      </c>
      <c r="R16" s="7" t="s">
        <v>100</v>
      </c>
      <c r="S16" s="7" t="s">
        <v>314</v>
      </c>
    </row>
    <row r="17" spans="1:19" x14ac:dyDescent="0.3">
      <c r="A17" s="7" t="s">
        <v>329</v>
      </c>
      <c r="B17" s="7" t="s">
        <v>180</v>
      </c>
      <c r="C17" s="7" t="s">
        <v>181</v>
      </c>
      <c r="D17" s="7" t="s">
        <v>182</v>
      </c>
      <c r="E17" s="7" t="s">
        <v>100</v>
      </c>
      <c r="F17" s="7" t="s">
        <v>100</v>
      </c>
      <c r="G17" s="7" t="s">
        <v>311</v>
      </c>
      <c r="H17" s="7" t="s">
        <v>106</v>
      </c>
      <c r="I17" s="7" t="s">
        <v>106</v>
      </c>
      <c r="J17" s="7" t="s">
        <v>88</v>
      </c>
      <c r="K17" s="7" t="s">
        <v>100</v>
      </c>
      <c r="L17" s="7" t="s">
        <v>100</v>
      </c>
      <c r="M17" s="7" t="s">
        <v>97</v>
      </c>
      <c r="N17" s="7" t="s">
        <v>312</v>
      </c>
      <c r="O17" s="7"/>
      <c r="P17" s="7" t="s">
        <v>100</v>
      </c>
      <c r="Q17" s="7" t="s">
        <v>313</v>
      </c>
      <c r="R17" s="7" t="s">
        <v>100</v>
      </c>
      <c r="S17" s="7" t="s">
        <v>314</v>
      </c>
    </row>
    <row r="18" spans="1:19" x14ac:dyDescent="0.3">
      <c r="A18" s="7" t="s">
        <v>330</v>
      </c>
      <c r="B18" s="7" t="s">
        <v>186</v>
      </c>
      <c r="C18" s="7" t="s">
        <v>187</v>
      </c>
      <c r="D18" s="7" t="s">
        <v>188</v>
      </c>
      <c r="E18" s="7" t="s">
        <v>100</v>
      </c>
      <c r="F18" s="7" t="s">
        <v>100</v>
      </c>
      <c r="G18" s="7" t="s">
        <v>311</v>
      </c>
      <c r="H18" s="7" t="s">
        <v>106</v>
      </c>
      <c r="I18" s="7" t="s">
        <v>106</v>
      </c>
      <c r="J18" s="7" t="s">
        <v>88</v>
      </c>
      <c r="K18" s="7" t="s">
        <v>100</v>
      </c>
      <c r="L18" s="7" t="s">
        <v>100</v>
      </c>
      <c r="M18" s="7" t="s">
        <v>97</v>
      </c>
      <c r="N18" s="7" t="s">
        <v>312</v>
      </c>
      <c r="O18" s="7"/>
      <c r="P18" s="7" t="s">
        <v>100</v>
      </c>
      <c r="Q18" s="7" t="s">
        <v>313</v>
      </c>
      <c r="R18" s="7" t="s">
        <v>100</v>
      </c>
      <c r="S18" s="7" t="s">
        <v>314</v>
      </c>
    </row>
    <row r="19" spans="1:19" x14ac:dyDescent="0.3">
      <c r="A19" s="7" t="s">
        <v>331</v>
      </c>
      <c r="B19" s="7" t="s">
        <v>191</v>
      </c>
      <c r="C19" s="7" t="s">
        <v>192</v>
      </c>
      <c r="D19" s="7" t="s">
        <v>193</v>
      </c>
      <c r="E19" s="7" t="s">
        <v>100</v>
      </c>
      <c r="F19" s="7" t="s">
        <v>100</v>
      </c>
      <c r="G19" s="7" t="s">
        <v>311</v>
      </c>
      <c r="H19" s="7" t="s">
        <v>106</v>
      </c>
      <c r="I19" s="7" t="s">
        <v>106</v>
      </c>
      <c r="J19" s="7" t="s">
        <v>88</v>
      </c>
      <c r="K19" s="7" t="s">
        <v>100</v>
      </c>
      <c r="L19" s="7" t="s">
        <v>100</v>
      </c>
      <c r="M19" s="7" t="s">
        <v>97</v>
      </c>
      <c r="N19" s="7" t="s">
        <v>312</v>
      </c>
      <c r="O19" s="7"/>
      <c r="P19" s="7" t="s">
        <v>100</v>
      </c>
      <c r="Q19" s="7" t="s">
        <v>313</v>
      </c>
      <c r="R19" s="7" t="s">
        <v>100</v>
      </c>
      <c r="S19" s="7" t="s">
        <v>314</v>
      </c>
    </row>
    <row r="20" spans="1:19" x14ac:dyDescent="0.3">
      <c r="A20" s="7" t="s">
        <v>332</v>
      </c>
      <c r="B20" s="7" t="s">
        <v>196</v>
      </c>
      <c r="C20" s="7" t="s">
        <v>197</v>
      </c>
      <c r="D20" s="7" t="s">
        <v>198</v>
      </c>
      <c r="E20" s="7" t="s">
        <v>100</v>
      </c>
      <c r="F20" s="7" t="s">
        <v>100</v>
      </c>
      <c r="G20" s="7" t="s">
        <v>311</v>
      </c>
      <c r="H20" s="7" t="s">
        <v>106</v>
      </c>
      <c r="I20" s="7" t="s">
        <v>106</v>
      </c>
      <c r="J20" s="7" t="s">
        <v>88</v>
      </c>
      <c r="K20" s="7" t="s">
        <v>100</v>
      </c>
      <c r="L20" s="7" t="s">
        <v>100</v>
      </c>
      <c r="M20" s="7" t="s">
        <v>97</v>
      </c>
      <c r="N20" s="7" t="s">
        <v>312</v>
      </c>
      <c r="O20" s="7"/>
      <c r="P20" s="7" t="s">
        <v>100</v>
      </c>
      <c r="Q20" s="7" t="s">
        <v>313</v>
      </c>
      <c r="R20" s="7" t="s">
        <v>100</v>
      </c>
      <c r="S20" s="7" t="s">
        <v>314</v>
      </c>
    </row>
    <row r="21" spans="1:19" x14ac:dyDescent="0.3">
      <c r="A21" s="7" t="s">
        <v>333</v>
      </c>
      <c r="B21" s="7" t="s">
        <v>201</v>
      </c>
      <c r="C21" s="7" t="s">
        <v>202</v>
      </c>
      <c r="D21" s="7" t="s">
        <v>203</v>
      </c>
      <c r="E21" s="7" t="s">
        <v>100</v>
      </c>
      <c r="F21" s="7" t="s">
        <v>100</v>
      </c>
      <c r="G21" s="7" t="s">
        <v>311</v>
      </c>
      <c r="H21" s="7" t="s">
        <v>106</v>
      </c>
      <c r="I21" s="7" t="s">
        <v>106</v>
      </c>
      <c r="J21" s="7" t="s">
        <v>88</v>
      </c>
      <c r="K21" s="7" t="s">
        <v>100</v>
      </c>
      <c r="L21" s="7" t="s">
        <v>100</v>
      </c>
      <c r="M21" s="7" t="s">
        <v>97</v>
      </c>
      <c r="N21" s="7" t="s">
        <v>312</v>
      </c>
      <c r="O21" s="7"/>
      <c r="P21" s="7" t="s">
        <v>100</v>
      </c>
      <c r="Q21" s="7" t="s">
        <v>313</v>
      </c>
      <c r="R21" s="7" t="s">
        <v>100</v>
      </c>
      <c r="S21" s="7" t="s">
        <v>314</v>
      </c>
    </row>
    <row r="22" spans="1:19" x14ac:dyDescent="0.3">
      <c r="A22" s="7" t="s">
        <v>334</v>
      </c>
      <c r="B22" s="7" t="s">
        <v>206</v>
      </c>
      <c r="C22" s="7" t="s">
        <v>207</v>
      </c>
      <c r="D22" s="7" t="s">
        <v>208</v>
      </c>
      <c r="E22" s="7" t="s">
        <v>100</v>
      </c>
      <c r="F22" s="7" t="s">
        <v>100</v>
      </c>
      <c r="G22" s="7" t="s">
        <v>311</v>
      </c>
      <c r="H22" s="7" t="s">
        <v>106</v>
      </c>
      <c r="I22" s="7" t="s">
        <v>106</v>
      </c>
      <c r="J22" s="7" t="s">
        <v>88</v>
      </c>
      <c r="K22" s="7" t="s">
        <v>100</v>
      </c>
      <c r="L22" s="7" t="s">
        <v>100</v>
      </c>
      <c r="M22" s="7" t="s">
        <v>97</v>
      </c>
      <c r="N22" s="7" t="s">
        <v>312</v>
      </c>
      <c r="O22" s="7"/>
      <c r="P22" s="7" t="s">
        <v>100</v>
      </c>
      <c r="Q22" s="7" t="s">
        <v>313</v>
      </c>
      <c r="R22" s="7" t="s">
        <v>100</v>
      </c>
      <c r="S22" s="7" t="s">
        <v>314</v>
      </c>
    </row>
    <row r="23" spans="1:19" x14ac:dyDescent="0.3">
      <c r="A23" s="7" t="s">
        <v>335</v>
      </c>
      <c r="B23" s="7" t="s">
        <v>211</v>
      </c>
      <c r="C23" s="7" t="s">
        <v>212</v>
      </c>
      <c r="D23" s="7" t="s">
        <v>213</v>
      </c>
      <c r="E23" s="7" t="s">
        <v>100</v>
      </c>
      <c r="F23" s="7" t="s">
        <v>100</v>
      </c>
      <c r="G23" s="7" t="s">
        <v>311</v>
      </c>
      <c r="H23" s="7" t="s">
        <v>106</v>
      </c>
      <c r="I23" s="7" t="s">
        <v>106</v>
      </c>
      <c r="J23" s="7" t="s">
        <v>88</v>
      </c>
      <c r="K23" s="7" t="s">
        <v>100</v>
      </c>
      <c r="L23" s="7" t="s">
        <v>100</v>
      </c>
      <c r="M23" s="7" t="s">
        <v>97</v>
      </c>
      <c r="N23" s="7" t="s">
        <v>312</v>
      </c>
      <c r="O23" s="7"/>
      <c r="P23" s="7" t="s">
        <v>100</v>
      </c>
      <c r="Q23" s="7" t="s">
        <v>313</v>
      </c>
      <c r="R23" s="7" t="s">
        <v>100</v>
      </c>
      <c r="S23" s="7" t="s">
        <v>314</v>
      </c>
    </row>
    <row r="24" spans="1:19" x14ac:dyDescent="0.3">
      <c r="A24" s="7" t="s">
        <v>336</v>
      </c>
      <c r="B24" s="7" t="s">
        <v>216</v>
      </c>
      <c r="C24" s="7" t="s">
        <v>217</v>
      </c>
      <c r="D24" s="7" t="s">
        <v>218</v>
      </c>
      <c r="E24" s="7" t="s">
        <v>100</v>
      </c>
      <c r="F24" s="7" t="s">
        <v>100</v>
      </c>
      <c r="G24" s="7" t="s">
        <v>311</v>
      </c>
      <c r="H24" s="7" t="s">
        <v>106</v>
      </c>
      <c r="I24" s="7" t="s">
        <v>106</v>
      </c>
      <c r="J24" s="7" t="s">
        <v>88</v>
      </c>
      <c r="K24" s="7" t="s">
        <v>100</v>
      </c>
      <c r="L24" s="7" t="s">
        <v>100</v>
      </c>
      <c r="M24" s="7" t="s">
        <v>97</v>
      </c>
      <c r="N24" s="7" t="s">
        <v>312</v>
      </c>
      <c r="O24" s="7"/>
      <c r="P24" s="7" t="s">
        <v>100</v>
      </c>
      <c r="Q24" s="7" t="s">
        <v>313</v>
      </c>
      <c r="R24" s="7" t="s">
        <v>100</v>
      </c>
      <c r="S24" s="7" t="s">
        <v>314</v>
      </c>
    </row>
    <row r="25" spans="1:19" x14ac:dyDescent="0.3">
      <c r="A25" s="7" t="s">
        <v>337</v>
      </c>
      <c r="B25" s="7" t="s">
        <v>221</v>
      </c>
      <c r="C25" s="7" t="s">
        <v>222</v>
      </c>
      <c r="D25" s="7" t="s">
        <v>223</v>
      </c>
      <c r="E25" s="7" t="s">
        <v>100</v>
      </c>
      <c r="F25" s="7" t="s">
        <v>100</v>
      </c>
      <c r="G25" s="7" t="s">
        <v>311</v>
      </c>
      <c r="H25" s="7" t="s">
        <v>106</v>
      </c>
      <c r="I25" s="7" t="s">
        <v>106</v>
      </c>
      <c r="J25" s="7" t="s">
        <v>88</v>
      </c>
      <c r="K25" s="7" t="s">
        <v>100</v>
      </c>
      <c r="L25" s="7" t="s">
        <v>100</v>
      </c>
      <c r="M25" s="7" t="s">
        <v>97</v>
      </c>
      <c r="N25" s="7" t="s">
        <v>312</v>
      </c>
      <c r="O25" s="7"/>
      <c r="P25" s="7" t="s">
        <v>100</v>
      </c>
      <c r="Q25" s="7" t="s">
        <v>313</v>
      </c>
      <c r="R25" s="7" t="s">
        <v>100</v>
      </c>
      <c r="S25" s="7" t="s">
        <v>314</v>
      </c>
    </row>
    <row r="26" spans="1:19" x14ac:dyDescent="0.3">
      <c r="A26" s="7" t="s">
        <v>338</v>
      </c>
      <c r="B26" s="7" t="s">
        <v>226</v>
      </c>
      <c r="C26" s="7" t="s">
        <v>227</v>
      </c>
      <c r="D26" s="7" t="s">
        <v>228</v>
      </c>
      <c r="E26" s="7" t="s">
        <v>100</v>
      </c>
      <c r="F26" s="7" t="s">
        <v>100</v>
      </c>
      <c r="G26" s="7" t="s">
        <v>311</v>
      </c>
      <c r="H26" s="7" t="s">
        <v>106</v>
      </c>
      <c r="I26" s="7" t="s">
        <v>106</v>
      </c>
      <c r="J26" s="7" t="s">
        <v>88</v>
      </c>
      <c r="K26" s="7" t="s">
        <v>100</v>
      </c>
      <c r="L26" s="7" t="s">
        <v>100</v>
      </c>
      <c r="M26" s="7" t="s">
        <v>97</v>
      </c>
      <c r="N26" s="7" t="s">
        <v>312</v>
      </c>
      <c r="O26" s="7"/>
      <c r="P26" s="7" t="s">
        <v>100</v>
      </c>
      <c r="Q26" s="7" t="s">
        <v>313</v>
      </c>
      <c r="R26" s="7" t="s">
        <v>100</v>
      </c>
      <c r="S26" s="7" t="s">
        <v>314</v>
      </c>
    </row>
    <row r="27" spans="1:19" x14ac:dyDescent="0.3">
      <c r="A27" s="7" t="s">
        <v>339</v>
      </c>
      <c r="B27" s="7" t="s">
        <v>231</v>
      </c>
      <c r="C27" s="7" t="s">
        <v>232</v>
      </c>
      <c r="D27" s="7" t="s">
        <v>233</v>
      </c>
      <c r="E27" s="7" t="s">
        <v>100</v>
      </c>
      <c r="F27" s="7" t="s">
        <v>100</v>
      </c>
      <c r="G27" s="7" t="s">
        <v>311</v>
      </c>
      <c r="H27" s="7" t="s">
        <v>106</v>
      </c>
      <c r="I27" s="7" t="s">
        <v>106</v>
      </c>
      <c r="J27" s="7" t="s">
        <v>88</v>
      </c>
      <c r="K27" s="7" t="s">
        <v>100</v>
      </c>
      <c r="L27" s="7" t="s">
        <v>100</v>
      </c>
      <c r="M27" s="7" t="s">
        <v>97</v>
      </c>
      <c r="N27" s="7" t="s">
        <v>312</v>
      </c>
      <c r="O27" s="7"/>
      <c r="P27" s="7" t="s">
        <v>100</v>
      </c>
      <c r="Q27" s="7" t="s">
        <v>313</v>
      </c>
      <c r="R27" s="7" t="s">
        <v>100</v>
      </c>
      <c r="S27" s="7" t="s">
        <v>314</v>
      </c>
    </row>
    <row r="28" spans="1:19" x14ac:dyDescent="0.3">
      <c r="A28" s="7" t="s">
        <v>340</v>
      </c>
      <c r="B28" s="7" t="s">
        <v>236</v>
      </c>
      <c r="C28" s="7" t="s">
        <v>237</v>
      </c>
      <c r="D28" s="7" t="s">
        <v>238</v>
      </c>
      <c r="E28" s="7" t="s">
        <v>100</v>
      </c>
      <c r="F28" s="7" t="s">
        <v>100</v>
      </c>
      <c r="G28" s="7" t="s">
        <v>311</v>
      </c>
      <c r="H28" s="7" t="s">
        <v>106</v>
      </c>
      <c r="I28" s="7" t="s">
        <v>106</v>
      </c>
      <c r="J28" s="7" t="s">
        <v>88</v>
      </c>
      <c r="K28" s="7" t="s">
        <v>100</v>
      </c>
      <c r="L28" s="7" t="s">
        <v>100</v>
      </c>
      <c r="M28" s="7" t="s">
        <v>97</v>
      </c>
      <c r="N28" s="7" t="s">
        <v>312</v>
      </c>
      <c r="O28" s="7"/>
      <c r="P28" s="7" t="s">
        <v>100</v>
      </c>
      <c r="Q28" s="7" t="s">
        <v>313</v>
      </c>
      <c r="R28" s="7" t="s">
        <v>100</v>
      </c>
      <c r="S28" s="7" t="s">
        <v>314</v>
      </c>
    </row>
    <row r="29" spans="1:19" x14ac:dyDescent="0.3">
      <c r="A29" s="7" t="s">
        <v>341</v>
      </c>
      <c r="B29" s="7" t="s">
        <v>241</v>
      </c>
      <c r="C29" s="7" t="s">
        <v>242</v>
      </c>
      <c r="D29" s="7" t="s">
        <v>243</v>
      </c>
      <c r="E29" s="7" t="s">
        <v>100</v>
      </c>
      <c r="F29" s="7" t="s">
        <v>100</v>
      </c>
      <c r="G29" s="7" t="s">
        <v>311</v>
      </c>
      <c r="H29" s="7" t="s">
        <v>106</v>
      </c>
      <c r="I29" s="7" t="s">
        <v>106</v>
      </c>
      <c r="J29" s="7" t="s">
        <v>88</v>
      </c>
      <c r="K29" s="7" t="s">
        <v>100</v>
      </c>
      <c r="L29" s="7" t="s">
        <v>100</v>
      </c>
      <c r="M29" s="7" t="s">
        <v>97</v>
      </c>
      <c r="N29" s="7" t="s">
        <v>312</v>
      </c>
      <c r="O29" s="7"/>
      <c r="P29" s="7" t="s">
        <v>100</v>
      </c>
      <c r="Q29" s="7" t="s">
        <v>313</v>
      </c>
      <c r="R29" s="7" t="s">
        <v>100</v>
      </c>
      <c r="S29" s="7" t="s">
        <v>314</v>
      </c>
    </row>
    <row r="30" spans="1:19" x14ac:dyDescent="0.3">
      <c r="A30" s="7" t="s">
        <v>342</v>
      </c>
      <c r="B30" s="7" t="s">
        <v>246</v>
      </c>
      <c r="C30" s="7" t="s">
        <v>247</v>
      </c>
      <c r="D30" s="7" t="s">
        <v>248</v>
      </c>
      <c r="E30" s="7" t="s">
        <v>100</v>
      </c>
      <c r="F30" s="7" t="s">
        <v>100</v>
      </c>
      <c r="G30" s="7" t="s">
        <v>311</v>
      </c>
      <c r="H30" s="7" t="s">
        <v>106</v>
      </c>
      <c r="I30" s="7" t="s">
        <v>106</v>
      </c>
      <c r="J30" s="7" t="s">
        <v>88</v>
      </c>
      <c r="K30" s="7" t="s">
        <v>100</v>
      </c>
      <c r="L30" s="7" t="s">
        <v>100</v>
      </c>
      <c r="M30" s="7" t="s">
        <v>97</v>
      </c>
      <c r="N30" s="7" t="s">
        <v>312</v>
      </c>
      <c r="O30" s="7"/>
      <c r="P30" s="7" t="s">
        <v>100</v>
      </c>
      <c r="Q30" s="7" t="s">
        <v>313</v>
      </c>
      <c r="R30" s="7" t="s">
        <v>100</v>
      </c>
      <c r="S30" s="7" t="s">
        <v>314</v>
      </c>
    </row>
    <row r="31" spans="1:19" x14ac:dyDescent="0.3">
      <c r="A31" s="7" t="s">
        <v>343</v>
      </c>
      <c r="B31" s="7" t="s">
        <v>251</v>
      </c>
      <c r="C31" s="7" t="s">
        <v>252</v>
      </c>
      <c r="D31" s="7" t="s">
        <v>253</v>
      </c>
      <c r="E31" s="7" t="s">
        <v>100</v>
      </c>
      <c r="F31" s="7" t="s">
        <v>100</v>
      </c>
      <c r="G31" s="7" t="s">
        <v>311</v>
      </c>
      <c r="H31" s="7" t="s">
        <v>106</v>
      </c>
      <c r="I31" s="7" t="s">
        <v>106</v>
      </c>
      <c r="J31" s="7" t="s">
        <v>88</v>
      </c>
      <c r="K31" s="7" t="s">
        <v>100</v>
      </c>
      <c r="L31" s="7" t="s">
        <v>100</v>
      </c>
      <c r="M31" s="7" t="s">
        <v>97</v>
      </c>
      <c r="N31" s="7" t="s">
        <v>312</v>
      </c>
      <c r="O31" s="7"/>
      <c r="P31" s="7" t="s">
        <v>100</v>
      </c>
      <c r="Q31" s="7" t="s">
        <v>313</v>
      </c>
      <c r="R31" s="7" t="s">
        <v>100</v>
      </c>
      <c r="S31" s="7" t="s">
        <v>314</v>
      </c>
    </row>
  </sheetData>
  <dataValidations count="7">
    <dataValidation type="list" allowBlank="1" sqref="E2:F31" xr:uid="{00000000-0002-0000-0400-000000000000}">
      <formula1>"Low,Medium,High,Critical,Pending"</formula1>
    </dataValidation>
    <dataValidation type="list" allowBlank="1" sqref="G2:G31" xr:uid="{00000000-0002-0000-0400-000002000000}">
      <formula1>"Increased,Decreased,No Change"</formula1>
    </dataValidation>
    <dataValidation type="list" allowBlank="1" sqref="H2:I31" xr:uid="{00000000-0002-0000-0400-000003000000}">
      <formula1>"Yes,No"</formula1>
    </dataValidation>
    <dataValidation type="list" allowBlank="1" sqref="J2:J31" xr:uid="{00000000-0002-0000-0400-000005000000}">
      <formula1>"Not Started,In Progress,Completed,Blocked,Pending Validation"</formula1>
    </dataValidation>
    <dataValidation type="list" allowBlank="1" sqref="K2:K31" xr:uid="{00000000-0002-0000-0400-000006000000}">
      <formula1>"Effective,Partially Effective,Ineffective,Pending"</formula1>
    </dataValidation>
    <dataValidation type="list" allowBlank="1" sqref="L2:L31" xr:uid="{00000000-0002-0000-0400-000007000000}">
      <formula1>"Yes,No,Pending"</formula1>
    </dataValidation>
    <dataValidation type="list" allowBlank="1" sqref="P2:P31" xr:uid="{00000000-0002-0000-0400-000008000000}">
      <formula1>"Pending,Continue,Modify,Revoke,Renew"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N31"/>
  <sheetViews>
    <sheetView showGridLines="0" workbookViewId="0">
      <pane ySplit="1" topLeftCell="A2" activePane="bottomLeft" state="frozen"/>
      <selection pane="bottomLeft" activeCell="F19" sqref="A2:N31"/>
    </sheetView>
  </sheetViews>
  <sheetFormatPr defaultRowHeight="14.4" x14ac:dyDescent="0.3"/>
  <cols>
    <col min="1" max="2" width="18" customWidth="1"/>
    <col min="3" max="3" width="13" customWidth="1"/>
    <col min="4" max="4" width="30" customWidth="1"/>
    <col min="5" max="6" width="16" customWidth="1"/>
    <col min="7" max="9" width="20" customWidth="1"/>
    <col min="10" max="10" width="24" customWidth="1"/>
    <col min="11" max="11" width="20" customWidth="1"/>
    <col min="12" max="12" width="60" customWidth="1"/>
    <col min="13" max="13" width="20" customWidth="1"/>
    <col min="14" max="14" width="50" customWidth="1"/>
  </cols>
  <sheetData>
    <row r="1" spans="1:14" x14ac:dyDescent="0.3">
      <c r="A1" s="1" t="s">
        <v>344</v>
      </c>
      <c r="B1" s="1" t="s">
        <v>36</v>
      </c>
      <c r="C1" s="1" t="s">
        <v>37</v>
      </c>
      <c r="D1" s="1" t="s">
        <v>38</v>
      </c>
      <c r="E1" s="1" t="s">
        <v>345</v>
      </c>
      <c r="F1" s="1" t="s">
        <v>346</v>
      </c>
      <c r="G1" s="1" t="s">
        <v>52</v>
      </c>
      <c r="H1" s="1" t="s">
        <v>347</v>
      </c>
      <c r="I1" s="1" t="s">
        <v>348</v>
      </c>
      <c r="J1" s="1" t="s">
        <v>349</v>
      </c>
      <c r="K1" s="1" t="s">
        <v>77</v>
      </c>
      <c r="L1" s="1" t="s">
        <v>350</v>
      </c>
      <c r="M1" s="1" t="s">
        <v>351</v>
      </c>
      <c r="N1" s="1" t="s">
        <v>78</v>
      </c>
    </row>
    <row r="2" spans="1:14" x14ac:dyDescent="0.3">
      <c r="A2" s="7" t="s">
        <v>352</v>
      </c>
      <c r="B2" s="7" t="s">
        <v>79</v>
      </c>
      <c r="C2" s="7" t="s">
        <v>80</v>
      </c>
      <c r="D2" s="7" t="s">
        <v>81</v>
      </c>
      <c r="E2" s="7" t="s">
        <v>97</v>
      </c>
      <c r="F2" s="7">
        <f t="shared" ref="F2:F31" ca="1" si="0">E2-TODAY()</f>
        <v>128</v>
      </c>
      <c r="G2" s="7" t="s">
        <v>86</v>
      </c>
      <c r="H2" s="7" t="s">
        <v>100</v>
      </c>
      <c r="I2" s="7" t="s">
        <v>100</v>
      </c>
      <c r="J2" s="7" t="s">
        <v>353</v>
      </c>
      <c r="K2" s="7" t="s">
        <v>106</v>
      </c>
      <c r="L2" s="7" t="s">
        <v>354</v>
      </c>
      <c r="M2" s="7" t="s">
        <v>100</v>
      </c>
      <c r="N2" s="7" t="s">
        <v>355</v>
      </c>
    </row>
    <row r="3" spans="1:14" x14ac:dyDescent="0.3">
      <c r="A3" s="7" t="s">
        <v>356</v>
      </c>
      <c r="B3" s="7" t="s">
        <v>108</v>
      </c>
      <c r="C3" s="7" t="s">
        <v>109</v>
      </c>
      <c r="D3" s="7" t="s">
        <v>110</v>
      </c>
      <c r="E3" s="7" t="s">
        <v>97</v>
      </c>
      <c r="F3" s="7">
        <f t="shared" ca="1" si="0"/>
        <v>128</v>
      </c>
      <c r="G3" s="7" t="s">
        <v>89</v>
      </c>
      <c r="H3" s="7" t="s">
        <v>100</v>
      </c>
      <c r="I3" s="7" t="s">
        <v>100</v>
      </c>
      <c r="J3" s="7" t="s">
        <v>353</v>
      </c>
      <c r="K3" s="7" t="s">
        <v>106</v>
      </c>
      <c r="L3" s="7" t="s">
        <v>354</v>
      </c>
      <c r="M3" s="7" t="s">
        <v>100</v>
      </c>
      <c r="N3" s="7" t="s">
        <v>355</v>
      </c>
    </row>
    <row r="4" spans="1:14" x14ac:dyDescent="0.3">
      <c r="A4" s="7" t="s">
        <v>357</v>
      </c>
      <c r="B4" s="7" t="s">
        <v>115</v>
      </c>
      <c r="C4" s="7" t="s">
        <v>116</v>
      </c>
      <c r="D4" s="7" t="s">
        <v>117</v>
      </c>
      <c r="E4" s="7" t="s">
        <v>97</v>
      </c>
      <c r="F4" s="7">
        <f t="shared" ca="1" si="0"/>
        <v>128</v>
      </c>
      <c r="G4" s="7" t="s">
        <v>86</v>
      </c>
      <c r="H4" s="7" t="s">
        <v>100</v>
      </c>
      <c r="I4" s="7" t="s">
        <v>100</v>
      </c>
      <c r="J4" s="7" t="s">
        <v>353</v>
      </c>
      <c r="K4" s="7" t="s">
        <v>106</v>
      </c>
      <c r="L4" s="7" t="s">
        <v>354</v>
      </c>
      <c r="M4" s="7" t="s">
        <v>100</v>
      </c>
      <c r="N4" s="7" t="s">
        <v>355</v>
      </c>
    </row>
    <row r="5" spans="1:14" x14ac:dyDescent="0.3">
      <c r="A5" s="7" t="s">
        <v>358</v>
      </c>
      <c r="B5" s="7" t="s">
        <v>120</v>
      </c>
      <c r="C5" s="7" t="s">
        <v>121</v>
      </c>
      <c r="D5" s="7" t="s">
        <v>122</v>
      </c>
      <c r="E5" s="7" t="s">
        <v>97</v>
      </c>
      <c r="F5" s="7">
        <f t="shared" ca="1" si="0"/>
        <v>128</v>
      </c>
      <c r="G5" s="7" t="s">
        <v>89</v>
      </c>
      <c r="H5" s="7" t="s">
        <v>100</v>
      </c>
      <c r="I5" s="7" t="s">
        <v>100</v>
      </c>
      <c r="J5" s="7" t="s">
        <v>353</v>
      </c>
      <c r="K5" s="7" t="s">
        <v>106</v>
      </c>
      <c r="L5" s="7" t="s">
        <v>354</v>
      </c>
      <c r="M5" s="7" t="s">
        <v>100</v>
      </c>
      <c r="N5" s="7" t="s">
        <v>355</v>
      </c>
    </row>
    <row r="6" spans="1:14" x14ac:dyDescent="0.3">
      <c r="A6" s="7" t="s">
        <v>359</v>
      </c>
      <c r="B6" s="7" t="s">
        <v>125</v>
      </c>
      <c r="C6" s="7" t="s">
        <v>126</v>
      </c>
      <c r="D6" s="7" t="s">
        <v>127</v>
      </c>
      <c r="E6" s="7" t="s">
        <v>97</v>
      </c>
      <c r="F6" s="7">
        <f t="shared" ca="1" si="0"/>
        <v>128</v>
      </c>
      <c r="G6" s="7" t="s">
        <v>89</v>
      </c>
      <c r="H6" s="7" t="s">
        <v>100</v>
      </c>
      <c r="I6" s="7" t="s">
        <v>100</v>
      </c>
      <c r="J6" s="7" t="s">
        <v>353</v>
      </c>
      <c r="K6" s="7" t="s">
        <v>106</v>
      </c>
      <c r="L6" s="7" t="s">
        <v>354</v>
      </c>
      <c r="M6" s="7" t="s">
        <v>100</v>
      </c>
      <c r="N6" s="7" t="s">
        <v>355</v>
      </c>
    </row>
    <row r="7" spans="1:14" x14ac:dyDescent="0.3">
      <c r="A7" s="7" t="s">
        <v>360</v>
      </c>
      <c r="B7" s="7" t="s">
        <v>130</v>
      </c>
      <c r="C7" s="7" t="s">
        <v>131</v>
      </c>
      <c r="D7" s="7" t="s">
        <v>132</v>
      </c>
      <c r="E7" s="7" t="s">
        <v>97</v>
      </c>
      <c r="F7" s="7">
        <f t="shared" ca="1" si="0"/>
        <v>128</v>
      </c>
      <c r="G7" s="7" t="s">
        <v>89</v>
      </c>
      <c r="H7" s="7" t="s">
        <v>100</v>
      </c>
      <c r="I7" s="7" t="s">
        <v>100</v>
      </c>
      <c r="J7" s="7" t="s">
        <v>353</v>
      </c>
      <c r="K7" s="7" t="s">
        <v>106</v>
      </c>
      <c r="L7" s="7" t="s">
        <v>354</v>
      </c>
      <c r="M7" s="7" t="s">
        <v>100</v>
      </c>
      <c r="N7" s="7" t="s">
        <v>355</v>
      </c>
    </row>
    <row r="8" spans="1:14" x14ac:dyDescent="0.3">
      <c r="A8" s="7" t="s">
        <v>361</v>
      </c>
      <c r="B8" s="7" t="s">
        <v>135</v>
      </c>
      <c r="C8" s="7" t="s">
        <v>136</v>
      </c>
      <c r="D8" s="7" t="s">
        <v>137</v>
      </c>
      <c r="E8" s="7" t="s">
        <v>97</v>
      </c>
      <c r="F8" s="7">
        <f t="shared" ca="1" si="0"/>
        <v>128</v>
      </c>
      <c r="G8" s="7" t="s">
        <v>86</v>
      </c>
      <c r="H8" s="7" t="s">
        <v>100</v>
      </c>
      <c r="I8" s="7" t="s">
        <v>100</v>
      </c>
      <c r="J8" s="7" t="s">
        <v>353</v>
      </c>
      <c r="K8" s="7" t="s">
        <v>106</v>
      </c>
      <c r="L8" s="7" t="s">
        <v>354</v>
      </c>
      <c r="M8" s="7" t="s">
        <v>100</v>
      </c>
      <c r="N8" s="7" t="s">
        <v>355</v>
      </c>
    </row>
    <row r="9" spans="1:14" x14ac:dyDescent="0.3">
      <c r="A9" s="7" t="s">
        <v>362</v>
      </c>
      <c r="B9" s="7" t="s">
        <v>140</v>
      </c>
      <c r="C9" s="7" t="s">
        <v>141</v>
      </c>
      <c r="D9" s="7" t="s">
        <v>142</v>
      </c>
      <c r="E9" s="7" t="s">
        <v>97</v>
      </c>
      <c r="F9" s="7">
        <f t="shared" ca="1" si="0"/>
        <v>128</v>
      </c>
      <c r="G9" s="7" t="s">
        <v>89</v>
      </c>
      <c r="H9" s="7" t="s">
        <v>100</v>
      </c>
      <c r="I9" s="7" t="s">
        <v>100</v>
      </c>
      <c r="J9" s="7" t="s">
        <v>353</v>
      </c>
      <c r="K9" s="7" t="s">
        <v>106</v>
      </c>
      <c r="L9" s="7" t="s">
        <v>354</v>
      </c>
      <c r="M9" s="7" t="s">
        <v>100</v>
      </c>
      <c r="N9" s="7" t="s">
        <v>355</v>
      </c>
    </row>
    <row r="10" spans="1:14" x14ac:dyDescent="0.3">
      <c r="A10" s="7" t="s">
        <v>363</v>
      </c>
      <c r="B10" s="7" t="s">
        <v>145</v>
      </c>
      <c r="C10" s="7" t="s">
        <v>146</v>
      </c>
      <c r="D10" s="7" t="s">
        <v>147</v>
      </c>
      <c r="E10" s="7" t="s">
        <v>97</v>
      </c>
      <c r="F10" s="7">
        <f t="shared" ca="1" si="0"/>
        <v>128</v>
      </c>
      <c r="G10" s="7" t="s">
        <v>86</v>
      </c>
      <c r="H10" s="7" t="s">
        <v>100</v>
      </c>
      <c r="I10" s="7" t="s">
        <v>100</v>
      </c>
      <c r="J10" s="7" t="s">
        <v>353</v>
      </c>
      <c r="K10" s="7" t="s">
        <v>106</v>
      </c>
      <c r="L10" s="7" t="s">
        <v>354</v>
      </c>
      <c r="M10" s="7" t="s">
        <v>100</v>
      </c>
      <c r="N10" s="7" t="s">
        <v>355</v>
      </c>
    </row>
    <row r="11" spans="1:14" x14ac:dyDescent="0.3">
      <c r="A11" s="7" t="s">
        <v>364</v>
      </c>
      <c r="B11" s="7" t="s">
        <v>150</v>
      </c>
      <c r="C11" s="7" t="s">
        <v>151</v>
      </c>
      <c r="D11" s="7" t="s">
        <v>152</v>
      </c>
      <c r="E11" s="7" t="s">
        <v>97</v>
      </c>
      <c r="F11" s="7">
        <f t="shared" ca="1" si="0"/>
        <v>128</v>
      </c>
      <c r="G11" s="7" t="s">
        <v>89</v>
      </c>
      <c r="H11" s="7" t="s">
        <v>100</v>
      </c>
      <c r="I11" s="7" t="s">
        <v>100</v>
      </c>
      <c r="J11" s="7" t="s">
        <v>353</v>
      </c>
      <c r="K11" s="7" t="s">
        <v>106</v>
      </c>
      <c r="L11" s="7" t="s">
        <v>354</v>
      </c>
      <c r="M11" s="7" t="s">
        <v>100</v>
      </c>
      <c r="N11" s="7" t="s">
        <v>355</v>
      </c>
    </row>
    <row r="12" spans="1:14" x14ac:dyDescent="0.3">
      <c r="A12" s="7" t="s">
        <v>365</v>
      </c>
      <c r="B12" s="7" t="s">
        <v>155</v>
      </c>
      <c r="C12" s="7" t="s">
        <v>156</v>
      </c>
      <c r="D12" s="7" t="s">
        <v>157</v>
      </c>
      <c r="E12" s="7" t="s">
        <v>97</v>
      </c>
      <c r="F12" s="7">
        <f t="shared" ca="1" si="0"/>
        <v>128</v>
      </c>
      <c r="G12" s="7" t="s">
        <v>86</v>
      </c>
      <c r="H12" s="7" t="s">
        <v>100</v>
      </c>
      <c r="I12" s="7" t="s">
        <v>100</v>
      </c>
      <c r="J12" s="7" t="s">
        <v>353</v>
      </c>
      <c r="K12" s="7" t="s">
        <v>106</v>
      </c>
      <c r="L12" s="7" t="s">
        <v>354</v>
      </c>
      <c r="M12" s="7" t="s">
        <v>100</v>
      </c>
      <c r="N12" s="7" t="s">
        <v>355</v>
      </c>
    </row>
    <row r="13" spans="1:14" x14ac:dyDescent="0.3">
      <c r="A13" s="7" t="s">
        <v>366</v>
      </c>
      <c r="B13" s="7" t="s">
        <v>160</v>
      </c>
      <c r="C13" s="7" t="s">
        <v>161</v>
      </c>
      <c r="D13" s="7" t="s">
        <v>162</v>
      </c>
      <c r="E13" s="7" t="s">
        <v>97</v>
      </c>
      <c r="F13" s="7">
        <f t="shared" ca="1" si="0"/>
        <v>128</v>
      </c>
      <c r="G13" s="7" t="s">
        <v>89</v>
      </c>
      <c r="H13" s="7" t="s">
        <v>100</v>
      </c>
      <c r="I13" s="7" t="s">
        <v>100</v>
      </c>
      <c r="J13" s="7" t="s">
        <v>353</v>
      </c>
      <c r="K13" s="7" t="s">
        <v>106</v>
      </c>
      <c r="L13" s="7" t="s">
        <v>354</v>
      </c>
      <c r="M13" s="7" t="s">
        <v>100</v>
      </c>
      <c r="N13" s="7" t="s">
        <v>355</v>
      </c>
    </row>
    <row r="14" spans="1:14" x14ac:dyDescent="0.3">
      <c r="A14" s="7" t="s">
        <v>367</v>
      </c>
      <c r="B14" s="7" t="s">
        <v>165</v>
      </c>
      <c r="C14" s="7" t="s">
        <v>166</v>
      </c>
      <c r="D14" s="7" t="s">
        <v>167</v>
      </c>
      <c r="E14" s="7" t="s">
        <v>97</v>
      </c>
      <c r="F14" s="7">
        <f t="shared" ca="1" si="0"/>
        <v>128</v>
      </c>
      <c r="G14" s="7" t="s">
        <v>89</v>
      </c>
      <c r="H14" s="7" t="s">
        <v>100</v>
      </c>
      <c r="I14" s="7" t="s">
        <v>100</v>
      </c>
      <c r="J14" s="7" t="s">
        <v>353</v>
      </c>
      <c r="K14" s="7" t="s">
        <v>106</v>
      </c>
      <c r="L14" s="7" t="s">
        <v>354</v>
      </c>
      <c r="M14" s="7" t="s">
        <v>100</v>
      </c>
      <c r="N14" s="7" t="s">
        <v>355</v>
      </c>
    </row>
    <row r="15" spans="1:14" x14ac:dyDescent="0.3">
      <c r="A15" s="7" t="s">
        <v>368</v>
      </c>
      <c r="B15" s="7" t="s">
        <v>170</v>
      </c>
      <c r="C15" s="7" t="s">
        <v>171</v>
      </c>
      <c r="D15" s="7" t="s">
        <v>172</v>
      </c>
      <c r="E15" s="7" t="s">
        <v>97</v>
      </c>
      <c r="F15" s="7">
        <f t="shared" ca="1" si="0"/>
        <v>128</v>
      </c>
      <c r="G15" s="7" t="s">
        <v>86</v>
      </c>
      <c r="H15" s="7" t="s">
        <v>100</v>
      </c>
      <c r="I15" s="7" t="s">
        <v>100</v>
      </c>
      <c r="J15" s="7" t="s">
        <v>353</v>
      </c>
      <c r="K15" s="7" t="s">
        <v>106</v>
      </c>
      <c r="L15" s="7" t="s">
        <v>354</v>
      </c>
      <c r="M15" s="7" t="s">
        <v>100</v>
      </c>
      <c r="N15" s="7" t="s">
        <v>355</v>
      </c>
    </row>
    <row r="16" spans="1:14" x14ac:dyDescent="0.3">
      <c r="A16" s="7" t="s">
        <v>369</v>
      </c>
      <c r="B16" s="7" t="s">
        <v>175</v>
      </c>
      <c r="C16" s="7" t="s">
        <v>176</v>
      </c>
      <c r="D16" s="7" t="s">
        <v>177</v>
      </c>
      <c r="E16" s="7" t="s">
        <v>97</v>
      </c>
      <c r="F16" s="7">
        <f t="shared" ca="1" si="0"/>
        <v>128</v>
      </c>
      <c r="G16" s="7" t="s">
        <v>86</v>
      </c>
      <c r="H16" s="7" t="s">
        <v>100</v>
      </c>
      <c r="I16" s="7" t="s">
        <v>100</v>
      </c>
      <c r="J16" s="7" t="s">
        <v>353</v>
      </c>
      <c r="K16" s="7" t="s">
        <v>106</v>
      </c>
      <c r="L16" s="7" t="s">
        <v>354</v>
      </c>
      <c r="M16" s="7" t="s">
        <v>100</v>
      </c>
      <c r="N16" s="7" t="s">
        <v>355</v>
      </c>
    </row>
    <row r="17" spans="1:14" x14ac:dyDescent="0.3">
      <c r="A17" s="7" t="s">
        <v>370</v>
      </c>
      <c r="B17" s="7" t="s">
        <v>180</v>
      </c>
      <c r="C17" s="7" t="s">
        <v>181</v>
      </c>
      <c r="D17" s="7" t="s">
        <v>182</v>
      </c>
      <c r="E17" s="7" t="s">
        <v>97</v>
      </c>
      <c r="F17" s="7">
        <f t="shared" ca="1" si="0"/>
        <v>128</v>
      </c>
      <c r="G17" s="7" t="s">
        <v>113</v>
      </c>
      <c r="H17" s="7" t="s">
        <v>100</v>
      </c>
      <c r="I17" s="7" t="s">
        <v>100</v>
      </c>
      <c r="J17" s="7" t="s">
        <v>353</v>
      </c>
      <c r="K17" s="7" t="s">
        <v>106</v>
      </c>
      <c r="L17" s="7" t="s">
        <v>354</v>
      </c>
      <c r="M17" s="7" t="s">
        <v>100</v>
      </c>
      <c r="N17" s="7" t="s">
        <v>355</v>
      </c>
    </row>
    <row r="18" spans="1:14" x14ac:dyDescent="0.3">
      <c r="A18" s="7" t="s">
        <v>371</v>
      </c>
      <c r="B18" s="7" t="s">
        <v>186</v>
      </c>
      <c r="C18" s="7" t="s">
        <v>187</v>
      </c>
      <c r="D18" s="7" t="s">
        <v>188</v>
      </c>
      <c r="E18" s="7" t="s">
        <v>97</v>
      </c>
      <c r="F18" s="7">
        <f t="shared" ca="1" si="0"/>
        <v>128</v>
      </c>
      <c r="G18" s="7" t="s">
        <v>89</v>
      </c>
      <c r="H18" s="7" t="s">
        <v>100</v>
      </c>
      <c r="I18" s="7" t="s">
        <v>100</v>
      </c>
      <c r="J18" s="7" t="s">
        <v>353</v>
      </c>
      <c r="K18" s="7" t="s">
        <v>106</v>
      </c>
      <c r="L18" s="7" t="s">
        <v>354</v>
      </c>
      <c r="M18" s="7" t="s">
        <v>100</v>
      </c>
      <c r="N18" s="7" t="s">
        <v>355</v>
      </c>
    </row>
    <row r="19" spans="1:14" x14ac:dyDescent="0.3">
      <c r="A19" s="7" t="s">
        <v>372</v>
      </c>
      <c r="B19" s="7" t="s">
        <v>191</v>
      </c>
      <c r="C19" s="7" t="s">
        <v>192</v>
      </c>
      <c r="D19" s="7" t="s">
        <v>193</v>
      </c>
      <c r="E19" s="7" t="s">
        <v>97</v>
      </c>
      <c r="F19" s="7">
        <f t="shared" ca="1" si="0"/>
        <v>128</v>
      </c>
      <c r="G19" s="7" t="s">
        <v>113</v>
      </c>
      <c r="H19" s="7" t="s">
        <v>100</v>
      </c>
      <c r="I19" s="7" t="s">
        <v>100</v>
      </c>
      <c r="J19" s="7" t="s">
        <v>353</v>
      </c>
      <c r="K19" s="7" t="s">
        <v>106</v>
      </c>
      <c r="L19" s="7" t="s">
        <v>354</v>
      </c>
      <c r="M19" s="7" t="s">
        <v>100</v>
      </c>
      <c r="N19" s="7" t="s">
        <v>355</v>
      </c>
    </row>
    <row r="20" spans="1:14" x14ac:dyDescent="0.3">
      <c r="A20" s="7" t="s">
        <v>373</v>
      </c>
      <c r="B20" s="7" t="s">
        <v>196</v>
      </c>
      <c r="C20" s="7" t="s">
        <v>197</v>
      </c>
      <c r="D20" s="7" t="s">
        <v>198</v>
      </c>
      <c r="E20" s="7" t="s">
        <v>97</v>
      </c>
      <c r="F20" s="7">
        <f t="shared" ca="1" si="0"/>
        <v>128</v>
      </c>
      <c r="G20" s="7" t="s">
        <v>113</v>
      </c>
      <c r="H20" s="7" t="s">
        <v>100</v>
      </c>
      <c r="I20" s="7" t="s">
        <v>100</v>
      </c>
      <c r="J20" s="7" t="s">
        <v>353</v>
      </c>
      <c r="K20" s="7" t="s">
        <v>106</v>
      </c>
      <c r="L20" s="7" t="s">
        <v>354</v>
      </c>
      <c r="M20" s="7" t="s">
        <v>100</v>
      </c>
      <c r="N20" s="7" t="s">
        <v>355</v>
      </c>
    </row>
    <row r="21" spans="1:14" x14ac:dyDescent="0.3">
      <c r="A21" s="7" t="s">
        <v>374</v>
      </c>
      <c r="B21" s="7" t="s">
        <v>201</v>
      </c>
      <c r="C21" s="7" t="s">
        <v>202</v>
      </c>
      <c r="D21" s="7" t="s">
        <v>203</v>
      </c>
      <c r="E21" s="7" t="s">
        <v>97</v>
      </c>
      <c r="F21" s="7">
        <f t="shared" ca="1" si="0"/>
        <v>128</v>
      </c>
      <c r="G21" s="7" t="s">
        <v>113</v>
      </c>
      <c r="H21" s="7" t="s">
        <v>100</v>
      </c>
      <c r="I21" s="7" t="s">
        <v>100</v>
      </c>
      <c r="J21" s="7" t="s">
        <v>353</v>
      </c>
      <c r="K21" s="7" t="s">
        <v>106</v>
      </c>
      <c r="L21" s="7" t="s">
        <v>354</v>
      </c>
      <c r="M21" s="7" t="s">
        <v>100</v>
      </c>
      <c r="N21" s="7" t="s">
        <v>355</v>
      </c>
    </row>
    <row r="22" spans="1:14" x14ac:dyDescent="0.3">
      <c r="A22" s="7" t="s">
        <v>375</v>
      </c>
      <c r="B22" s="7" t="s">
        <v>206</v>
      </c>
      <c r="C22" s="7" t="s">
        <v>207</v>
      </c>
      <c r="D22" s="7" t="s">
        <v>208</v>
      </c>
      <c r="E22" s="7" t="s">
        <v>97</v>
      </c>
      <c r="F22" s="7">
        <f t="shared" ca="1" si="0"/>
        <v>128</v>
      </c>
      <c r="G22" s="7" t="s">
        <v>113</v>
      </c>
      <c r="H22" s="7" t="s">
        <v>100</v>
      </c>
      <c r="I22" s="7" t="s">
        <v>100</v>
      </c>
      <c r="J22" s="7" t="s">
        <v>353</v>
      </c>
      <c r="K22" s="7" t="s">
        <v>106</v>
      </c>
      <c r="L22" s="7" t="s">
        <v>354</v>
      </c>
      <c r="M22" s="7" t="s">
        <v>100</v>
      </c>
      <c r="N22" s="7" t="s">
        <v>355</v>
      </c>
    </row>
    <row r="23" spans="1:14" x14ac:dyDescent="0.3">
      <c r="A23" s="7" t="s">
        <v>376</v>
      </c>
      <c r="B23" s="7" t="s">
        <v>211</v>
      </c>
      <c r="C23" s="7" t="s">
        <v>212</v>
      </c>
      <c r="D23" s="7" t="s">
        <v>213</v>
      </c>
      <c r="E23" s="7" t="s">
        <v>97</v>
      </c>
      <c r="F23" s="7">
        <f t="shared" ca="1" si="0"/>
        <v>128</v>
      </c>
      <c r="G23" s="7" t="s">
        <v>113</v>
      </c>
      <c r="H23" s="7" t="s">
        <v>100</v>
      </c>
      <c r="I23" s="7" t="s">
        <v>100</v>
      </c>
      <c r="J23" s="7" t="s">
        <v>353</v>
      </c>
      <c r="K23" s="7" t="s">
        <v>106</v>
      </c>
      <c r="L23" s="7" t="s">
        <v>354</v>
      </c>
      <c r="M23" s="7" t="s">
        <v>100</v>
      </c>
      <c r="N23" s="7" t="s">
        <v>355</v>
      </c>
    </row>
    <row r="24" spans="1:14" x14ac:dyDescent="0.3">
      <c r="A24" s="7" t="s">
        <v>377</v>
      </c>
      <c r="B24" s="7" t="s">
        <v>216</v>
      </c>
      <c r="C24" s="7" t="s">
        <v>217</v>
      </c>
      <c r="D24" s="7" t="s">
        <v>218</v>
      </c>
      <c r="E24" s="7" t="s">
        <v>97</v>
      </c>
      <c r="F24" s="7">
        <f t="shared" ca="1" si="0"/>
        <v>128</v>
      </c>
      <c r="G24" s="7" t="s">
        <v>89</v>
      </c>
      <c r="H24" s="7" t="s">
        <v>100</v>
      </c>
      <c r="I24" s="7" t="s">
        <v>100</v>
      </c>
      <c r="J24" s="7" t="s">
        <v>353</v>
      </c>
      <c r="K24" s="7" t="s">
        <v>106</v>
      </c>
      <c r="L24" s="7" t="s">
        <v>354</v>
      </c>
      <c r="M24" s="7" t="s">
        <v>100</v>
      </c>
      <c r="N24" s="7" t="s">
        <v>355</v>
      </c>
    </row>
    <row r="25" spans="1:14" x14ac:dyDescent="0.3">
      <c r="A25" s="7" t="s">
        <v>378</v>
      </c>
      <c r="B25" s="7" t="s">
        <v>221</v>
      </c>
      <c r="C25" s="7" t="s">
        <v>222</v>
      </c>
      <c r="D25" s="7" t="s">
        <v>223</v>
      </c>
      <c r="E25" s="7" t="s">
        <v>97</v>
      </c>
      <c r="F25" s="7">
        <f t="shared" ca="1" si="0"/>
        <v>128</v>
      </c>
      <c r="G25" s="7" t="s">
        <v>89</v>
      </c>
      <c r="H25" s="7" t="s">
        <v>100</v>
      </c>
      <c r="I25" s="7" t="s">
        <v>100</v>
      </c>
      <c r="J25" s="7" t="s">
        <v>353</v>
      </c>
      <c r="K25" s="7" t="s">
        <v>106</v>
      </c>
      <c r="L25" s="7" t="s">
        <v>354</v>
      </c>
      <c r="M25" s="7" t="s">
        <v>100</v>
      </c>
      <c r="N25" s="7" t="s">
        <v>355</v>
      </c>
    </row>
    <row r="26" spans="1:14" x14ac:dyDescent="0.3">
      <c r="A26" s="7" t="s">
        <v>379</v>
      </c>
      <c r="B26" s="7" t="s">
        <v>226</v>
      </c>
      <c r="C26" s="7" t="s">
        <v>227</v>
      </c>
      <c r="D26" s="7" t="s">
        <v>228</v>
      </c>
      <c r="E26" s="7" t="s">
        <v>97</v>
      </c>
      <c r="F26" s="7">
        <f t="shared" ca="1" si="0"/>
        <v>128</v>
      </c>
      <c r="G26" s="7" t="s">
        <v>113</v>
      </c>
      <c r="H26" s="7" t="s">
        <v>100</v>
      </c>
      <c r="I26" s="7" t="s">
        <v>100</v>
      </c>
      <c r="J26" s="7" t="s">
        <v>353</v>
      </c>
      <c r="K26" s="7" t="s">
        <v>106</v>
      </c>
      <c r="L26" s="7" t="s">
        <v>354</v>
      </c>
      <c r="M26" s="7" t="s">
        <v>100</v>
      </c>
      <c r="N26" s="7" t="s">
        <v>355</v>
      </c>
    </row>
    <row r="27" spans="1:14" x14ac:dyDescent="0.3">
      <c r="A27" s="7" t="s">
        <v>380</v>
      </c>
      <c r="B27" s="7" t="s">
        <v>231</v>
      </c>
      <c r="C27" s="7" t="s">
        <v>232</v>
      </c>
      <c r="D27" s="7" t="s">
        <v>233</v>
      </c>
      <c r="E27" s="7" t="s">
        <v>97</v>
      </c>
      <c r="F27" s="7">
        <f t="shared" ca="1" si="0"/>
        <v>128</v>
      </c>
      <c r="G27" s="7" t="s">
        <v>89</v>
      </c>
      <c r="H27" s="7" t="s">
        <v>100</v>
      </c>
      <c r="I27" s="7" t="s">
        <v>100</v>
      </c>
      <c r="J27" s="7" t="s">
        <v>353</v>
      </c>
      <c r="K27" s="7" t="s">
        <v>106</v>
      </c>
      <c r="L27" s="7" t="s">
        <v>354</v>
      </c>
      <c r="M27" s="7" t="s">
        <v>100</v>
      </c>
      <c r="N27" s="7" t="s">
        <v>355</v>
      </c>
    </row>
    <row r="28" spans="1:14" x14ac:dyDescent="0.3">
      <c r="A28" s="7" t="s">
        <v>381</v>
      </c>
      <c r="B28" s="7" t="s">
        <v>236</v>
      </c>
      <c r="C28" s="7" t="s">
        <v>237</v>
      </c>
      <c r="D28" s="7" t="s">
        <v>238</v>
      </c>
      <c r="E28" s="7" t="s">
        <v>97</v>
      </c>
      <c r="F28" s="7">
        <f t="shared" ca="1" si="0"/>
        <v>128</v>
      </c>
      <c r="G28" s="7" t="s">
        <v>113</v>
      </c>
      <c r="H28" s="7" t="s">
        <v>100</v>
      </c>
      <c r="I28" s="7" t="s">
        <v>100</v>
      </c>
      <c r="J28" s="7" t="s">
        <v>353</v>
      </c>
      <c r="K28" s="7" t="s">
        <v>106</v>
      </c>
      <c r="L28" s="7" t="s">
        <v>354</v>
      </c>
      <c r="M28" s="7" t="s">
        <v>100</v>
      </c>
      <c r="N28" s="7" t="s">
        <v>355</v>
      </c>
    </row>
    <row r="29" spans="1:14" x14ac:dyDescent="0.3">
      <c r="A29" s="7" t="s">
        <v>382</v>
      </c>
      <c r="B29" s="7" t="s">
        <v>241</v>
      </c>
      <c r="C29" s="7" t="s">
        <v>242</v>
      </c>
      <c r="D29" s="7" t="s">
        <v>243</v>
      </c>
      <c r="E29" s="7" t="s">
        <v>97</v>
      </c>
      <c r="F29" s="7">
        <f t="shared" ca="1" si="0"/>
        <v>128</v>
      </c>
      <c r="G29" s="7" t="s">
        <v>89</v>
      </c>
      <c r="H29" s="7" t="s">
        <v>100</v>
      </c>
      <c r="I29" s="7" t="s">
        <v>100</v>
      </c>
      <c r="J29" s="7" t="s">
        <v>353</v>
      </c>
      <c r="K29" s="7" t="s">
        <v>106</v>
      </c>
      <c r="L29" s="7" t="s">
        <v>354</v>
      </c>
      <c r="M29" s="7" t="s">
        <v>100</v>
      </c>
      <c r="N29" s="7" t="s">
        <v>355</v>
      </c>
    </row>
    <row r="30" spans="1:14" x14ac:dyDescent="0.3">
      <c r="A30" s="7" t="s">
        <v>383</v>
      </c>
      <c r="B30" s="7" t="s">
        <v>246</v>
      </c>
      <c r="C30" s="7" t="s">
        <v>247</v>
      </c>
      <c r="D30" s="7" t="s">
        <v>248</v>
      </c>
      <c r="E30" s="7" t="s">
        <v>97</v>
      </c>
      <c r="F30" s="7">
        <f t="shared" ca="1" si="0"/>
        <v>128</v>
      </c>
      <c r="G30" s="7" t="s">
        <v>86</v>
      </c>
      <c r="H30" s="7" t="s">
        <v>100</v>
      </c>
      <c r="I30" s="7" t="s">
        <v>100</v>
      </c>
      <c r="J30" s="7" t="s">
        <v>353</v>
      </c>
      <c r="K30" s="7" t="s">
        <v>106</v>
      </c>
      <c r="L30" s="7" t="s">
        <v>354</v>
      </c>
      <c r="M30" s="7" t="s">
        <v>100</v>
      </c>
      <c r="N30" s="7" t="s">
        <v>355</v>
      </c>
    </row>
    <row r="31" spans="1:14" x14ac:dyDescent="0.3">
      <c r="A31" s="7" t="s">
        <v>384</v>
      </c>
      <c r="B31" s="7" t="s">
        <v>251</v>
      </c>
      <c r="C31" s="7" t="s">
        <v>252</v>
      </c>
      <c r="D31" s="7" t="s">
        <v>253</v>
      </c>
      <c r="E31" s="7" t="s">
        <v>97</v>
      </c>
      <c r="F31" s="7">
        <f t="shared" ca="1" si="0"/>
        <v>128</v>
      </c>
      <c r="G31" s="7" t="s">
        <v>113</v>
      </c>
      <c r="H31" s="7" t="s">
        <v>100</v>
      </c>
      <c r="I31" s="7" t="s">
        <v>100</v>
      </c>
      <c r="J31" s="7" t="s">
        <v>353</v>
      </c>
      <c r="K31" s="7" t="s">
        <v>106</v>
      </c>
      <c r="L31" s="7" t="s">
        <v>354</v>
      </c>
      <c r="M31" s="7" t="s">
        <v>100</v>
      </c>
      <c r="N31" s="7" t="s">
        <v>355</v>
      </c>
    </row>
  </sheetData>
  <conditionalFormatting sqref="F2:F31">
    <cfRule type="cellIs" dxfId="93" priority="1" operator="lessThan">
      <formula>30</formula>
    </cfRule>
    <cfRule type="cellIs" dxfId="92" priority="2" operator="lessThan">
      <formula>0</formula>
    </cfRule>
  </conditionalFormatting>
  <dataValidations count="5">
    <dataValidation type="list" allowBlank="1" sqref="G2:G31" xr:uid="{00000000-0002-0000-0500-000000000000}">
      <formula1>"Low,Medium,High,Critical"</formula1>
    </dataValidation>
    <dataValidation type="list" allowBlank="1" sqref="H2:H31" xr:uid="{00000000-0002-0000-0500-000001000000}">
      <formula1>"Pending,Approved,Conditionally Approved,Rejected,Expired"</formula1>
    </dataValidation>
    <dataValidation type="list" allowBlank="1" sqref="I2:I31" xr:uid="{00000000-0002-0000-0500-000002000000}">
      <formula1>"Pending,In Progress,Completed,Overdue"</formula1>
    </dataValidation>
    <dataValidation type="list" allowBlank="1" sqref="K2:K31" xr:uid="{00000000-0002-0000-0500-000003000000}">
      <formula1>"Yes,No"</formula1>
    </dataValidation>
    <dataValidation type="list" allowBlank="1" sqref="M2:M31" xr:uid="{00000000-0002-0000-0500-000004000000}">
      <formula1>"Pending,Renew,Close,Escalate"</formula1>
    </dataValidation>
  </dataValidation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75B5"/>
  </sheetPr>
  <dimension ref="A1:F11"/>
  <sheetViews>
    <sheetView workbookViewId="0">
      <selection activeCell="H3" sqref="H3"/>
    </sheetView>
  </sheetViews>
  <sheetFormatPr defaultRowHeight="14.4" x14ac:dyDescent="0.3"/>
  <cols>
    <col min="1" max="1" width="38" customWidth="1"/>
    <col min="2" max="2" width="24" customWidth="1"/>
    <col min="3" max="3" width="75" customWidth="1"/>
    <col min="5" max="5" width="13.88671875" bestFit="1" customWidth="1"/>
  </cols>
  <sheetData>
    <row r="1" spans="1:6" x14ac:dyDescent="0.3">
      <c r="A1" s="1" t="s">
        <v>385</v>
      </c>
      <c r="B1" s="1" t="s">
        <v>21</v>
      </c>
      <c r="C1" s="1" t="s">
        <v>386</v>
      </c>
      <c r="E1" s="8" t="s">
        <v>52</v>
      </c>
      <c r="F1" s="8" t="s">
        <v>387</v>
      </c>
    </row>
    <row r="2" spans="1:6" x14ac:dyDescent="0.3">
      <c r="A2" s="7" t="s">
        <v>388</v>
      </c>
      <c r="B2" s="7">
        <v>30</v>
      </c>
      <c r="C2" s="7" t="s">
        <v>389</v>
      </c>
      <c r="E2" s="7" t="s">
        <v>390</v>
      </c>
      <c r="F2" s="7">
        <f>COUNTIF('Risk Acceptance Register'!Q:Q,E2)</f>
        <v>0</v>
      </c>
    </row>
    <row r="3" spans="1:6" x14ac:dyDescent="0.3">
      <c r="A3" s="7" t="s">
        <v>391</v>
      </c>
      <c r="B3" s="7">
        <v>30</v>
      </c>
      <c r="C3" s="7" t="s">
        <v>392</v>
      </c>
      <c r="E3" s="7" t="s">
        <v>86</v>
      </c>
      <c r="F3" s="7">
        <f>COUNTIF('Risk Acceptance Register'!Q:Q,E3)</f>
        <v>0</v>
      </c>
    </row>
    <row r="4" spans="1:6" x14ac:dyDescent="0.3">
      <c r="A4" s="7" t="s">
        <v>393</v>
      </c>
      <c r="B4" s="7">
        <v>30</v>
      </c>
      <c r="C4" s="7" t="s">
        <v>394</v>
      </c>
      <c r="E4" s="7" t="s">
        <v>89</v>
      </c>
      <c r="F4" s="7">
        <f>COUNTIF('Risk Acceptance Register'!Q:Q,E4)</f>
        <v>8</v>
      </c>
    </row>
    <row r="5" spans="1:6" x14ac:dyDescent="0.3">
      <c r="A5" s="7" t="s">
        <v>395</v>
      </c>
      <c r="B5" s="7">
        <v>30</v>
      </c>
      <c r="C5" s="7" t="s">
        <v>396</v>
      </c>
      <c r="E5" s="7" t="s">
        <v>113</v>
      </c>
      <c r="F5" s="7">
        <f>COUNTIF('Risk Acceptance Register'!Q:Q,E5)</f>
        <v>22</v>
      </c>
    </row>
    <row r="6" spans="1:6" x14ac:dyDescent="0.3">
      <c r="A6" s="7" t="s">
        <v>397</v>
      </c>
      <c r="B6" s="7">
        <v>30</v>
      </c>
      <c r="C6" s="7" t="s">
        <v>398</v>
      </c>
    </row>
    <row r="7" spans="1:6" x14ac:dyDescent="0.3">
      <c r="A7" s="7" t="s">
        <v>399</v>
      </c>
      <c r="B7" s="7">
        <f>COUNTIF('Risk Acceptance Register'!AE:AE,"Approved")+COUNTIF('Risk Acceptance Register'!AE:AE,"Conditionally Approved")</f>
        <v>0</v>
      </c>
      <c r="C7" s="7" t="s">
        <v>400</v>
      </c>
    </row>
    <row r="8" spans="1:6" x14ac:dyDescent="0.3">
      <c r="A8" s="7" t="s">
        <v>401</v>
      </c>
      <c r="B8" s="7">
        <f>COUNTIF('Risk Acceptance Register'!AE:AE,"Expired")</f>
        <v>0</v>
      </c>
      <c r="C8" s="7" t="s">
        <v>402</v>
      </c>
    </row>
    <row r="9" spans="1:6" x14ac:dyDescent="0.3">
      <c r="A9" s="7" t="s">
        <v>403</v>
      </c>
      <c r="B9" s="7">
        <f>COUNTIF('Risk Acceptance Register'!Q:Q,"High")+COUNTIF('Risk Acceptance Register'!Q:Q,"Critical")</f>
        <v>0</v>
      </c>
      <c r="C9" s="7" t="s">
        <v>404</v>
      </c>
    </row>
    <row r="10" spans="1:6" x14ac:dyDescent="0.3">
      <c r="A10" s="7" t="s">
        <v>405</v>
      </c>
      <c r="B10" s="7">
        <f>COUNTIF('Risk Acceptance Register'!AE:AE,"Pending")</f>
        <v>30</v>
      </c>
      <c r="C10" s="7" t="s">
        <v>406</v>
      </c>
    </row>
    <row r="11" spans="1:6" x14ac:dyDescent="0.3">
      <c r="A11" s="7" t="s">
        <v>407</v>
      </c>
      <c r="B11" s="7">
        <f>COUNTIF('Acceptance Review Log'!L:L,"Pending")</f>
        <v>30</v>
      </c>
      <c r="C11" s="7" t="s">
        <v>408</v>
      </c>
    </row>
  </sheetData>
  <pageMargins left="0.75" right="0.75" top="1" bottom="1" header="0.5" footer="0.5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C8"/>
  <sheetViews>
    <sheetView workbookViewId="0">
      <selection activeCell="B23" sqref="B23"/>
    </sheetView>
  </sheetViews>
  <sheetFormatPr defaultRowHeight="14.4" x14ac:dyDescent="0.3"/>
  <cols>
    <col min="1" max="1" width="30" customWidth="1"/>
    <col min="2" max="2" width="78" customWidth="1"/>
    <col min="3" max="3" width="72" customWidth="1"/>
  </cols>
  <sheetData>
    <row r="1" spans="1:3" ht="28.8" customHeight="1" x14ac:dyDescent="0.3">
      <c r="A1" s="6" t="s">
        <v>409</v>
      </c>
      <c r="B1" s="6" t="s">
        <v>410</v>
      </c>
      <c r="C1" s="6" t="s">
        <v>411</v>
      </c>
    </row>
    <row r="2" spans="1:3" x14ac:dyDescent="0.3">
      <c r="A2" s="7" t="s">
        <v>412</v>
      </c>
      <c r="B2" s="7" t="s">
        <v>413</v>
      </c>
      <c r="C2" s="7" t="s">
        <v>414</v>
      </c>
    </row>
    <row r="3" spans="1:3" x14ac:dyDescent="0.3">
      <c r="A3" s="7" t="s">
        <v>415</v>
      </c>
      <c r="B3" s="7" t="s">
        <v>416</v>
      </c>
      <c r="C3" s="7" t="s">
        <v>417</v>
      </c>
    </row>
    <row r="4" spans="1:3" x14ac:dyDescent="0.3">
      <c r="A4" s="7" t="s">
        <v>418</v>
      </c>
      <c r="B4" s="7" t="s">
        <v>419</v>
      </c>
      <c r="C4" s="7" t="s">
        <v>420</v>
      </c>
    </row>
    <row r="5" spans="1:3" x14ac:dyDescent="0.3">
      <c r="A5" s="7" t="s">
        <v>421</v>
      </c>
      <c r="B5" s="7" t="s">
        <v>422</v>
      </c>
      <c r="C5" s="7" t="s">
        <v>423</v>
      </c>
    </row>
    <row r="6" spans="1:3" x14ac:dyDescent="0.3">
      <c r="A6" s="7" t="s">
        <v>424</v>
      </c>
      <c r="B6" s="7" t="s">
        <v>425</v>
      </c>
      <c r="C6" s="7" t="s">
        <v>426</v>
      </c>
    </row>
    <row r="7" spans="1:3" x14ac:dyDescent="0.3">
      <c r="A7" s="7" t="s">
        <v>427</v>
      </c>
      <c r="B7" s="7" t="s">
        <v>428</v>
      </c>
      <c r="C7" s="7" t="s">
        <v>429</v>
      </c>
    </row>
    <row r="8" spans="1:3" x14ac:dyDescent="0.3">
      <c r="A8" s="7" t="s">
        <v>430</v>
      </c>
      <c r="B8" s="7" t="s">
        <v>431</v>
      </c>
      <c r="C8" s="7" t="s">
        <v>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44"/>
  <sheetViews>
    <sheetView tabSelected="1" workbookViewId="0">
      <selection activeCell="C14" sqref="C14"/>
    </sheetView>
  </sheetViews>
  <sheetFormatPr defaultRowHeight="14.4" x14ac:dyDescent="0.3"/>
  <cols>
    <col min="1" max="1" width="42" customWidth="1"/>
    <col min="2" max="2" width="110" customWidth="1"/>
  </cols>
  <sheetData>
    <row r="1" spans="1:2" ht="29.4" customHeight="1" x14ac:dyDescent="0.3">
      <c r="A1" s="6" t="s">
        <v>20</v>
      </c>
      <c r="B1" s="6" t="s">
        <v>10</v>
      </c>
    </row>
    <row r="2" spans="1:2" x14ac:dyDescent="0.3">
      <c r="A2" s="7" t="s">
        <v>36</v>
      </c>
      <c r="B2" s="7" t="s">
        <v>433</v>
      </c>
    </row>
    <row r="3" spans="1:2" x14ac:dyDescent="0.3">
      <c r="A3" s="7" t="s">
        <v>37</v>
      </c>
      <c r="B3" s="7" t="s">
        <v>433</v>
      </c>
    </row>
    <row r="4" spans="1:2" x14ac:dyDescent="0.3">
      <c r="A4" s="7" t="s">
        <v>38</v>
      </c>
      <c r="B4" s="7" t="s">
        <v>433</v>
      </c>
    </row>
    <row r="5" spans="1:2" x14ac:dyDescent="0.3">
      <c r="A5" s="7" t="s">
        <v>39</v>
      </c>
      <c r="B5" s="7" t="s">
        <v>433</v>
      </c>
    </row>
    <row r="6" spans="1:2" x14ac:dyDescent="0.3">
      <c r="A6" s="7" t="s">
        <v>40</v>
      </c>
      <c r="B6" s="7" t="s">
        <v>433</v>
      </c>
    </row>
    <row r="7" spans="1:2" x14ac:dyDescent="0.3">
      <c r="A7" s="7" t="s">
        <v>41</v>
      </c>
      <c r="B7" s="7" t="s">
        <v>433</v>
      </c>
    </row>
    <row r="8" spans="1:2" x14ac:dyDescent="0.3">
      <c r="A8" s="7" t="s">
        <v>42</v>
      </c>
      <c r="B8" s="7" t="s">
        <v>433</v>
      </c>
    </row>
    <row r="9" spans="1:2" x14ac:dyDescent="0.3">
      <c r="A9" s="7" t="s">
        <v>43</v>
      </c>
      <c r="B9" s="7" t="s">
        <v>433</v>
      </c>
    </row>
    <row r="10" spans="1:2" x14ac:dyDescent="0.3">
      <c r="A10" s="7" t="s">
        <v>44</v>
      </c>
      <c r="B10" s="7" t="s">
        <v>433</v>
      </c>
    </row>
    <row r="11" spans="1:2" x14ac:dyDescent="0.3">
      <c r="A11" s="7" t="s">
        <v>45</v>
      </c>
      <c r="B11" s="7" t="s">
        <v>433</v>
      </c>
    </row>
    <row r="12" spans="1:2" x14ac:dyDescent="0.3">
      <c r="A12" s="7" t="s">
        <v>46</v>
      </c>
      <c r="B12" s="7" t="s">
        <v>433</v>
      </c>
    </row>
    <row r="13" spans="1:2" x14ac:dyDescent="0.3">
      <c r="A13" s="7" t="s">
        <v>47</v>
      </c>
      <c r="B13" s="7" t="s">
        <v>433</v>
      </c>
    </row>
    <row r="14" spans="1:2" x14ac:dyDescent="0.3">
      <c r="A14" s="7" t="s">
        <v>48</v>
      </c>
      <c r="B14" s="7" t="s">
        <v>433</v>
      </c>
    </row>
    <row r="15" spans="1:2" x14ac:dyDescent="0.3">
      <c r="A15" s="7" t="s">
        <v>49</v>
      </c>
      <c r="B15" s="7" t="s">
        <v>433</v>
      </c>
    </row>
    <row r="16" spans="1:2" x14ac:dyDescent="0.3">
      <c r="A16" s="7" t="s">
        <v>50</v>
      </c>
      <c r="B16" s="7" t="s">
        <v>433</v>
      </c>
    </row>
    <row r="17" spans="1:2" x14ac:dyDescent="0.3">
      <c r="A17" s="7" t="s">
        <v>51</v>
      </c>
      <c r="B17" s="7" t="s">
        <v>433</v>
      </c>
    </row>
    <row r="18" spans="1:2" x14ac:dyDescent="0.3">
      <c r="A18" s="7" t="s">
        <v>52</v>
      </c>
      <c r="B18" s="7" t="s">
        <v>433</v>
      </c>
    </row>
    <row r="19" spans="1:2" x14ac:dyDescent="0.3">
      <c r="A19" s="7" t="s">
        <v>53</v>
      </c>
      <c r="B19" s="7" t="s">
        <v>433</v>
      </c>
    </row>
    <row r="20" spans="1:2" x14ac:dyDescent="0.3">
      <c r="A20" s="7" t="s">
        <v>54</v>
      </c>
      <c r="B20" s="7" t="s">
        <v>433</v>
      </c>
    </row>
    <row r="21" spans="1:2" x14ac:dyDescent="0.3">
      <c r="A21" s="7" t="s">
        <v>55</v>
      </c>
      <c r="B21" s="7" t="s">
        <v>433</v>
      </c>
    </row>
    <row r="22" spans="1:2" x14ac:dyDescent="0.3">
      <c r="A22" s="7" t="s">
        <v>56</v>
      </c>
      <c r="B22" s="7" t="s">
        <v>433</v>
      </c>
    </row>
    <row r="23" spans="1:2" x14ac:dyDescent="0.3">
      <c r="A23" s="7" t="s">
        <v>57</v>
      </c>
      <c r="B23" s="7" t="s">
        <v>433</v>
      </c>
    </row>
    <row r="24" spans="1:2" x14ac:dyDescent="0.3">
      <c r="A24" s="7" t="s">
        <v>58</v>
      </c>
      <c r="B24" s="7" t="s">
        <v>433</v>
      </c>
    </row>
    <row r="25" spans="1:2" x14ac:dyDescent="0.3">
      <c r="A25" s="7" t="s">
        <v>59</v>
      </c>
      <c r="B25" s="7" t="s">
        <v>433</v>
      </c>
    </row>
    <row r="26" spans="1:2" x14ac:dyDescent="0.3">
      <c r="A26" s="7" t="s">
        <v>60</v>
      </c>
      <c r="B26" s="7" t="s">
        <v>433</v>
      </c>
    </row>
    <row r="27" spans="1:2" x14ac:dyDescent="0.3">
      <c r="A27" s="7" t="s">
        <v>61</v>
      </c>
      <c r="B27" s="7" t="s">
        <v>433</v>
      </c>
    </row>
    <row r="28" spans="1:2" x14ac:dyDescent="0.3">
      <c r="A28" s="7" t="s">
        <v>62</v>
      </c>
      <c r="B28" s="7" t="s">
        <v>433</v>
      </c>
    </row>
    <row r="29" spans="1:2" x14ac:dyDescent="0.3">
      <c r="A29" s="7" t="s">
        <v>63</v>
      </c>
      <c r="B29" s="7" t="s">
        <v>433</v>
      </c>
    </row>
    <row r="30" spans="1:2" x14ac:dyDescent="0.3">
      <c r="A30" s="7" t="s">
        <v>64</v>
      </c>
      <c r="B30" s="7" t="s">
        <v>433</v>
      </c>
    </row>
    <row r="31" spans="1:2" x14ac:dyDescent="0.3">
      <c r="A31" s="7" t="s">
        <v>65</v>
      </c>
      <c r="B31" s="7" t="s">
        <v>433</v>
      </c>
    </row>
    <row r="32" spans="1:2" x14ac:dyDescent="0.3">
      <c r="A32" s="7" t="s">
        <v>66</v>
      </c>
      <c r="B32" s="7" t="s">
        <v>433</v>
      </c>
    </row>
    <row r="33" spans="1:2" x14ac:dyDescent="0.3">
      <c r="A33" s="7" t="s">
        <v>67</v>
      </c>
      <c r="B33" s="7" t="s">
        <v>433</v>
      </c>
    </row>
    <row r="34" spans="1:2" x14ac:dyDescent="0.3">
      <c r="A34" s="7" t="s">
        <v>68</v>
      </c>
      <c r="B34" s="7" t="s">
        <v>433</v>
      </c>
    </row>
    <row r="35" spans="1:2" x14ac:dyDescent="0.3">
      <c r="A35" s="7" t="s">
        <v>69</v>
      </c>
      <c r="B35" s="7" t="s">
        <v>433</v>
      </c>
    </row>
    <row r="36" spans="1:2" x14ac:dyDescent="0.3">
      <c r="A36" s="7" t="s">
        <v>70</v>
      </c>
      <c r="B36" s="7" t="s">
        <v>433</v>
      </c>
    </row>
    <row r="37" spans="1:2" x14ac:dyDescent="0.3">
      <c r="A37" s="7" t="s">
        <v>71</v>
      </c>
      <c r="B37" s="7" t="s">
        <v>433</v>
      </c>
    </row>
    <row r="38" spans="1:2" x14ac:dyDescent="0.3">
      <c r="A38" s="7" t="s">
        <v>72</v>
      </c>
      <c r="B38" s="7" t="s">
        <v>433</v>
      </c>
    </row>
    <row r="39" spans="1:2" x14ac:dyDescent="0.3">
      <c r="A39" s="7" t="s">
        <v>73</v>
      </c>
      <c r="B39" s="7" t="s">
        <v>433</v>
      </c>
    </row>
    <row r="40" spans="1:2" x14ac:dyDescent="0.3">
      <c r="A40" s="7" t="s">
        <v>74</v>
      </c>
      <c r="B40" s="7" t="s">
        <v>433</v>
      </c>
    </row>
    <row r="41" spans="1:2" x14ac:dyDescent="0.3">
      <c r="A41" s="7" t="s">
        <v>75</v>
      </c>
      <c r="B41" s="7" t="s">
        <v>433</v>
      </c>
    </row>
    <row r="42" spans="1:2" x14ac:dyDescent="0.3">
      <c r="A42" s="7" t="s">
        <v>76</v>
      </c>
      <c r="B42" s="7" t="s">
        <v>433</v>
      </c>
    </row>
    <row r="43" spans="1:2" x14ac:dyDescent="0.3">
      <c r="A43" s="7" t="s">
        <v>77</v>
      </c>
      <c r="B43" s="7" t="s">
        <v>433</v>
      </c>
    </row>
    <row r="44" spans="1:2" x14ac:dyDescent="0.3">
      <c r="A44" s="7" t="s">
        <v>78</v>
      </c>
      <c r="B44" s="7" t="s">
        <v>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Risk Acceptance Register</vt:lpstr>
      <vt:lpstr>Acceptance Approval Log</vt:lpstr>
      <vt:lpstr>Acceptance Review Log</vt:lpstr>
      <vt:lpstr>Acceptance Expiry Monitoring</vt:lpstr>
      <vt:lpstr>Executive Summary</vt:lpstr>
      <vt:lpstr>Acceptance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2026-08-25T07:32:45Z</dcterms:created>
  <dcterms:modified xsi:type="dcterms:W3CDTF">2026-08-25T07:34:46Z</dcterms:modified>
</cp:coreProperties>
</file>