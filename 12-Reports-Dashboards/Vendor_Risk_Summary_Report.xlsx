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87130160-8008-4A93-902B-579D233FC8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Summary" sheetId="1" r:id="rId1"/>
    <sheet name="Vendor Risk Profile" sheetId="2" r:id="rId2"/>
    <sheet name="Risk Dashboard" sheetId="3" r:id="rId3"/>
    <sheet name="Management Recommendations" sheetId="4" r:id="rId4"/>
    <sheet name="Methodolo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F5" i="3"/>
  <c r="B5" i="3"/>
  <c r="F4" i="3"/>
  <c r="B4" i="3"/>
  <c r="F3" i="3"/>
  <c r="B3" i="3"/>
  <c r="F2" i="3"/>
  <c r="B2" i="3"/>
</calcChain>
</file>

<file path=xl/sharedStrings.xml><?xml version="1.0" encoding="utf-8"?>
<sst xmlns="http://schemas.openxmlformats.org/spreadsheetml/2006/main" count="505" uniqueCount="170">
  <si>
    <t>VENDOR RISK SUMMARY REPORT</t>
  </si>
  <si>
    <t>Mayekar Technologies Pvt. Ltd.</t>
  </si>
  <si>
    <t>Report ID</t>
  </si>
  <si>
    <t>TPRM-RSK-001</t>
  </si>
  <si>
    <t>Version</t>
  </si>
  <si>
    <t>1.0</t>
  </si>
  <si>
    <t>Status</t>
  </si>
  <si>
    <t>Portfolio / Simulated Evidence</t>
  </si>
  <si>
    <t>Scope</t>
  </si>
  <si>
    <t>TPRM-001 to TPRM-030 vendor risk management framework.</t>
  </si>
  <si>
    <t>Purpose</t>
  </si>
  <si>
    <t>Summarize vendor population, inherent risk, residual risk, risk treatment, acceptance and management attention areas.</t>
  </si>
  <si>
    <t>Data Basis</t>
  </si>
  <si>
    <t>Portfolio vendor assessment dataset aligned to the TPRM-007 assessment model. Values are simulated and are not actual vendor evidence.</t>
  </si>
  <si>
    <t>Management Note</t>
  </si>
  <si>
    <t>Risk decisions must be supported by approved assessments, evidence, treatment records and documented risk-owner decisions in a real environment.</t>
  </si>
  <si>
    <t>Vendor ID</t>
  </si>
  <si>
    <t>Vendor Name</t>
  </si>
  <si>
    <t>Tier</t>
  </si>
  <si>
    <t>Criticality</t>
  </si>
  <si>
    <t>Inherent Score</t>
  </si>
  <si>
    <t>Inherent Rating</t>
  </si>
  <si>
    <t>Control Effectiveness</t>
  </si>
  <si>
    <t>Residual Score</t>
  </si>
  <si>
    <t>Residual Rating</t>
  </si>
  <si>
    <t>Treatment</t>
  </si>
  <si>
    <t>Acceptance Required</t>
  </si>
  <si>
    <t>Assessment Status</t>
  </si>
  <si>
    <t>Next Review</t>
  </si>
  <si>
    <t>Risk Owner</t>
  </si>
  <si>
    <t>Key Risk Driver</t>
  </si>
  <si>
    <t>Management Attention</t>
  </si>
  <si>
    <t>VND-001</t>
  </si>
  <si>
    <t>Portfolio Vendor 01</t>
  </si>
  <si>
    <t>Tier 3</t>
  </si>
  <si>
    <t>Medium</t>
  </si>
  <si>
    <t>Low</t>
  </si>
  <si>
    <t>Mitigate</t>
  </si>
  <si>
    <t>No</t>
  </si>
  <si>
    <t>Assessed</t>
  </si>
  <si>
    <t>2026-11-25</t>
  </si>
  <si>
    <t>Service criticality, data exposure and dependency</t>
  </si>
  <si>
    <t>Routine</t>
  </si>
  <si>
    <t>VND-002</t>
  </si>
  <si>
    <t>Portfolio Vendor 02</t>
  </si>
  <si>
    <t>Tier 2</t>
  </si>
  <si>
    <t>High</t>
  </si>
  <si>
    <t>VND-003</t>
  </si>
  <si>
    <t>Portfolio Vendor 03</t>
  </si>
  <si>
    <t>Tier 1</t>
  </si>
  <si>
    <t>Critical</t>
  </si>
  <si>
    <t>VND-004</t>
  </si>
  <si>
    <t>Portfolio Vendor 04</t>
  </si>
  <si>
    <t>VND-005</t>
  </si>
  <si>
    <t>Portfolio Vendor 05</t>
  </si>
  <si>
    <t>VND-006</t>
  </si>
  <si>
    <t>Portfolio Vendor 06</t>
  </si>
  <si>
    <t>VND-007</t>
  </si>
  <si>
    <t>Portfolio Vendor 07</t>
  </si>
  <si>
    <t>VND-008</t>
  </si>
  <si>
    <t>Portfolio Vendor 08</t>
  </si>
  <si>
    <t>VND-009</t>
  </si>
  <si>
    <t>Portfolio Vendor 09</t>
  </si>
  <si>
    <t>VND-010</t>
  </si>
  <si>
    <t>Portfolio Vendor 10</t>
  </si>
  <si>
    <t>VND-011</t>
  </si>
  <si>
    <t>Portfolio Vendor 11</t>
  </si>
  <si>
    <t>VND-012</t>
  </si>
  <si>
    <t>Portfolio Vendor 12</t>
  </si>
  <si>
    <t>VND-013</t>
  </si>
  <si>
    <t>Portfolio Vendor 13</t>
  </si>
  <si>
    <t>VND-014</t>
  </si>
  <si>
    <t>Portfolio Vendor 14</t>
  </si>
  <si>
    <t>VND-015</t>
  </si>
  <si>
    <t>Portfolio Vendor 15</t>
  </si>
  <si>
    <t>VND-016</t>
  </si>
  <si>
    <t>Portfolio Vendor 16</t>
  </si>
  <si>
    <t>VND-017</t>
  </si>
  <si>
    <t>Portfolio Vendor 17</t>
  </si>
  <si>
    <t>VND-018</t>
  </si>
  <si>
    <t>Portfolio Vendor 18</t>
  </si>
  <si>
    <t>VND-019</t>
  </si>
  <si>
    <t>Portfolio Vendor 19</t>
  </si>
  <si>
    <t>VND-020</t>
  </si>
  <si>
    <t>Portfolio Vendor 20</t>
  </si>
  <si>
    <t>VND-021</t>
  </si>
  <si>
    <t>Portfolio Vendor 21</t>
  </si>
  <si>
    <t>VND-022</t>
  </si>
  <si>
    <t>Portfolio Vendor 22</t>
  </si>
  <si>
    <t>VND-023</t>
  </si>
  <si>
    <t>Portfolio Vendor 23</t>
  </si>
  <si>
    <t>VND-024</t>
  </si>
  <si>
    <t>Portfolio Vendor 24</t>
  </si>
  <si>
    <t>VND-025</t>
  </si>
  <si>
    <t>Portfolio Vendor 25</t>
  </si>
  <si>
    <t>VND-026</t>
  </si>
  <si>
    <t>Portfolio Vendor 26</t>
  </si>
  <si>
    <t>VND-027</t>
  </si>
  <si>
    <t>Portfolio Vendor 27</t>
  </si>
  <si>
    <t>VND-028</t>
  </si>
  <si>
    <t>Portfolio Vendor 28</t>
  </si>
  <si>
    <t>VND-029</t>
  </si>
  <si>
    <t>Portfolio Vendor 29</t>
  </si>
  <si>
    <t>VND-030</t>
  </si>
  <si>
    <t>Portfolio Vendor 30</t>
  </si>
  <si>
    <t>Metric</t>
  </si>
  <si>
    <t>Value</t>
  </si>
  <si>
    <t>Management Interpretation</t>
  </si>
  <si>
    <t>Vendor Count</t>
  </si>
  <si>
    <t>Total Vendors</t>
  </si>
  <si>
    <t>Current simulated vendor population</t>
  </si>
  <si>
    <t>Critical Vendors</t>
  </si>
  <si>
    <t>Enhanced monitoring / management attention</t>
  </si>
  <si>
    <t>High Vendors</t>
  </si>
  <si>
    <t>Risk-based due diligence and monitoring</t>
  </si>
  <si>
    <t>Critical Residual Risk</t>
  </si>
  <si>
    <t>Escalation / acceptance decision required</t>
  </si>
  <si>
    <t>High Residual Risk</t>
  </si>
  <si>
    <t>Treatment and management attention</t>
  </si>
  <si>
    <t>Medium Residual Risk</t>
  </si>
  <si>
    <t>Routine risk treatment / monitoring</t>
  </si>
  <si>
    <t>Low Residual Risk</t>
  </si>
  <si>
    <t>Routine monitoring</t>
  </si>
  <si>
    <t>Risk Acceptance Required</t>
  </si>
  <si>
    <t>Formal residual-risk approval required</t>
  </si>
  <si>
    <t>Vendors Under Treatment</t>
  </si>
  <si>
    <t>Active treatment population</t>
  </si>
  <si>
    <t>Assessment Coverage</t>
  </si>
  <si>
    <t>Portfolio assessment coverage</t>
  </si>
  <si>
    <t>Priority</t>
  </si>
  <si>
    <t>Recommendation</t>
  </si>
  <si>
    <t>Trigger / Rationale</t>
  </si>
  <si>
    <t>Owner</t>
  </si>
  <si>
    <t>Target</t>
  </si>
  <si>
    <t>Review critical and high residual-risk vendors and confirm treatment plans.</t>
  </si>
  <si>
    <t>Elevated residual risk</t>
  </si>
  <si>
    <t>TPRM Manager</t>
  </si>
  <si>
    <t>2026-09-30</t>
  </si>
  <si>
    <t>Open</t>
  </si>
  <si>
    <t>Confirm formal risk acceptance for any residual risk above tolerance.</t>
  </si>
  <si>
    <t>Residual risk acceptance</t>
  </si>
  <si>
    <t>Risk Owner / Management</t>
  </si>
  <si>
    <t>2026-09-15</t>
  </si>
  <si>
    <t>Validate supporting evidence for security, privacy and BCDR assessments.</t>
  </si>
  <si>
    <t>Evidence quality</t>
  </si>
  <si>
    <t>GRC / Security</t>
  </si>
  <si>
    <t>Review reassessment calendar and material-change triggers.</t>
  </si>
  <si>
    <t>Risk monitoring</t>
  </si>
  <si>
    <t>Vendor Manager</t>
  </si>
  <si>
    <t>2026-10-15</t>
  </si>
  <si>
    <t>Trend SLA, incident and monitoring metrics for management review.</t>
  </si>
  <si>
    <t>Operational risk</t>
  </si>
  <si>
    <t>2026-10-31</t>
  </si>
  <si>
    <t>Topic</t>
  </si>
  <si>
    <t>Method</t>
  </si>
  <si>
    <t>Risk score</t>
  </si>
  <si>
    <t>Likelihood × Impact</t>
  </si>
  <si>
    <t>Inherent rating</t>
  </si>
  <si>
    <t>1–4 Low; 5–9 Medium; 10–16 High; 17–25 Critical</t>
  </si>
  <si>
    <t>Residual score</t>
  </si>
  <si>
    <t>Inherent score adjusted using control effectiveness</t>
  </si>
  <si>
    <t>Residual rating</t>
  </si>
  <si>
    <t>Risk treatment</t>
  </si>
  <si>
    <t>Mitigate, Transfer, Avoid or Accept based on approved risk decision</t>
  </si>
  <si>
    <t>Acceptance</t>
  </si>
  <si>
    <t>Formal approval where residual risk exceeds tolerance or policy requires acceptance</t>
  </si>
  <si>
    <t>Monitoring</t>
  </si>
  <si>
    <t>Continuous monitoring plus periodic reassessment and event-driven review</t>
  </si>
  <si>
    <t>Portfolio rule</t>
  </si>
  <si>
    <t>All vendor names, metrics and decisions in this report are simulated.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</si>
</sst>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Residual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'Risk Dashboard'!$F$1</c:f>
              <c:strCache>
                <c:ptCount val="1"/>
                <c:pt idx="0">
                  <c:v>Vendor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Dashboard'!$E$2:$E$5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'Risk Dashboard'!$F$2:$F$5</c:f>
              <c:numCache>
                <c:formatCode>General</c:formatCode>
                <c:ptCount val="4"/>
                <c:pt idx="0">
                  <c:v>27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E-4E4C-8DC9-726E07F2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Profile" displayName="VendorRiskProfile" ref="A1:P31">
  <autoFilter ref="A1:P31" xr:uid="{00000000-0009-0000-0100-000001000000}"/>
  <tableColumns count="16">
    <tableColumn id="1" xr3:uid="{00000000-0010-0000-0000-000001000000}" name="Vendor ID" dataDxfId="21"/>
    <tableColumn id="2" xr3:uid="{00000000-0010-0000-0000-000002000000}" name="Vendor Name" dataDxfId="20"/>
    <tableColumn id="3" xr3:uid="{00000000-0010-0000-0000-000003000000}" name="Tier" dataDxfId="19"/>
    <tableColumn id="4" xr3:uid="{00000000-0010-0000-0000-000004000000}" name="Criticality" dataDxfId="18"/>
    <tableColumn id="5" xr3:uid="{00000000-0010-0000-0000-000005000000}" name="Inherent Score" dataDxfId="17"/>
    <tableColumn id="6" xr3:uid="{00000000-0010-0000-0000-000006000000}" name="Inherent Rating" dataDxfId="16"/>
    <tableColumn id="7" xr3:uid="{00000000-0010-0000-0000-000007000000}" name="Control Effectiveness" dataDxfId="15"/>
    <tableColumn id="8" xr3:uid="{00000000-0010-0000-0000-000008000000}" name="Residual Score" dataDxfId="14"/>
    <tableColumn id="9" xr3:uid="{00000000-0010-0000-0000-000009000000}" name="Residual Rating" dataDxfId="13"/>
    <tableColumn id="10" xr3:uid="{00000000-0010-0000-0000-00000A000000}" name="Treatment" dataDxfId="12"/>
    <tableColumn id="11" xr3:uid="{00000000-0010-0000-0000-00000B000000}" name="Acceptance Required" dataDxfId="11"/>
    <tableColumn id="12" xr3:uid="{00000000-0010-0000-0000-00000C000000}" name="Assessment Status" dataDxfId="10"/>
    <tableColumn id="13" xr3:uid="{00000000-0010-0000-0000-00000D000000}" name="Next Review" dataDxfId="9"/>
    <tableColumn id="14" xr3:uid="{00000000-0010-0000-0000-00000E000000}" name="Risk Owner" dataDxfId="8"/>
    <tableColumn id="15" xr3:uid="{00000000-0010-0000-0000-00000F000000}" name="Key Risk Driver" dataDxfId="7"/>
    <tableColumn id="16" xr3:uid="{00000000-0010-0000-0000-000010000000}" name="Management Atten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RiskRecommendations" displayName="VendorRiskRecommendations" ref="A1:F6">
  <autoFilter ref="A1:F6" xr:uid="{00000000-0009-0000-0100-000002000000}"/>
  <tableColumns count="6">
    <tableColumn id="1" xr3:uid="{00000000-0010-0000-0100-000001000000}" name="Priority" dataDxfId="5"/>
    <tableColumn id="2" xr3:uid="{00000000-0010-0000-0100-000002000000}" name="Recommendation" dataDxfId="4"/>
    <tableColumn id="3" xr3:uid="{00000000-0010-0000-0100-000003000000}" name="Trigger / Rationale" dataDxfId="3"/>
    <tableColumn id="4" xr3:uid="{00000000-0010-0000-0100-000004000000}" name="Owner" dataDxfId="2"/>
    <tableColumn id="5" xr3:uid="{00000000-0010-0000-0100-000005000000}" name="Target" dataDxfId="1"/>
    <tableColumn id="6" xr3:uid="{00000000-0010-0000-0100-000006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8"/>
  <sheetViews>
    <sheetView tabSelected="1" workbookViewId="0">
      <selection activeCell="B13" sqref="B13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3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x14ac:dyDescent="0.3">
      <c r="A6" s="5" t="s">
        <v>10</v>
      </c>
      <c r="B6" s="5" t="s">
        <v>11</v>
      </c>
    </row>
    <row r="7" spans="1:2" ht="28.8" x14ac:dyDescent="0.3">
      <c r="A7" s="5" t="s">
        <v>12</v>
      </c>
      <c r="B7" s="5" t="s">
        <v>13</v>
      </c>
    </row>
    <row r="8" spans="1:2" ht="28.8" x14ac:dyDescent="0.3">
      <c r="A8" s="5" t="s">
        <v>14</v>
      </c>
      <c r="B8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31"/>
  <sheetViews>
    <sheetView showGridLines="0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5" width="16" customWidth="1"/>
    <col min="6" max="6" width="18" customWidth="1"/>
    <col min="7" max="7" width="22" customWidth="1"/>
    <col min="8" max="8" width="16" customWidth="1"/>
    <col min="9" max="10" width="18" customWidth="1"/>
    <col min="11" max="11" width="22" customWidth="1"/>
    <col min="12" max="12" width="18" customWidth="1"/>
    <col min="13" max="13" width="16" customWidth="1"/>
    <col min="14" max="14" width="22" customWidth="1"/>
    <col min="15" max="15" width="55" customWidth="1"/>
    <col min="16" max="16" width="22" customWidth="1"/>
  </cols>
  <sheetData>
    <row r="1" spans="1:16" ht="43.95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 s="5" t="s">
        <v>32</v>
      </c>
      <c r="B2" s="5" t="s">
        <v>33</v>
      </c>
      <c r="C2" s="5" t="s">
        <v>34</v>
      </c>
      <c r="D2" s="5" t="s">
        <v>35</v>
      </c>
      <c r="E2" s="5">
        <v>6</v>
      </c>
      <c r="F2" s="5" t="s">
        <v>35</v>
      </c>
      <c r="G2" s="5">
        <v>80</v>
      </c>
      <c r="H2" s="5">
        <v>1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29</v>
      </c>
      <c r="O2" s="5" t="s">
        <v>41</v>
      </c>
      <c r="P2" s="5" t="s">
        <v>42</v>
      </c>
    </row>
    <row r="3" spans="1:16" x14ac:dyDescent="0.3">
      <c r="A3" s="5" t="s">
        <v>43</v>
      </c>
      <c r="B3" s="5" t="s">
        <v>44</v>
      </c>
      <c r="C3" s="5" t="s">
        <v>45</v>
      </c>
      <c r="D3" s="5" t="s">
        <v>46</v>
      </c>
      <c r="E3" s="5">
        <v>12</v>
      </c>
      <c r="F3" s="5" t="s">
        <v>46</v>
      </c>
      <c r="G3" s="5">
        <v>80</v>
      </c>
      <c r="H3" s="5">
        <v>2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29</v>
      </c>
      <c r="O3" s="5" t="s">
        <v>41</v>
      </c>
      <c r="P3" s="5" t="s">
        <v>42</v>
      </c>
    </row>
    <row r="4" spans="1:16" x14ac:dyDescent="0.3">
      <c r="A4" s="5" t="s">
        <v>47</v>
      </c>
      <c r="B4" s="5" t="s">
        <v>48</v>
      </c>
      <c r="C4" s="5" t="s">
        <v>49</v>
      </c>
      <c r="D4" s="5" t="s">
        <v>50</v>
      </c>
      <c r="E4" s="5">
        <v>10</v>
      </c>
      <c r="F4" s="5" t="s">
        <v>46</v>
      </c>
      <c r="G4" s="5">
        <v>80</v>
      </c>
      <c r="H4" s="5">
        <v>2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29</v>
      </c>
      <c r="O4" s="5" t="s">
        <v>41</v>
      </c>
      <c r="P4" s="5" t="s">
        <v>42</v>
      </c>
    </row>
    <row r="5" spans="1:16" x14ac:dyDescent="0.3">
      <c r="A5" s="5" t="s">
        <v>51</v>
      </c>
      <c r="B5" s="5" t="s">
        <v>52</v>
      </c>
      <c r="C5" s="5" t="s">
        <v>45</v>
      </c>
      <c r="D5" s="5" t="s">
        <v>46</v>
      </c>
      <c r="E5" s="5">
        <v>16</v>
      </c>
      <c r="F5" s="5" t="s">
        <v>46</v>
      </c>
      <c r="G5" s="5">
        <v>80</v>
      </c>
      <c r="H5" s="5">
        <v>3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29</v>
      </c>
      <c r="O5" s="5" t="s">
        <v>41</v>
      </c>
      <c r="P5" s="5" t="s">
        <v>42</v>
      </c>
    </row>
    <row r="6" spans="1:16" x14ac:dyDescent="0.3">
      <c r="A6" s="5" t="s">
        <v>53</v>
      </c>
      <c r="B6" s="5" t="s">
        <v>54</v>
      </c>
      <c r="C6" s="5" t="s">
        <v>34</v>
      </c>
      <c r="D6" s="5" t="s">
        <v>35</v>
      </c>
      <c r="E6" s="5">
        <v>6</v>
      </c>
      <c r="F6" s="5" t="s">
        <v>35</v>
      </c>
      <c r="G6" s="5">
        <v>60</v>
      </c>
      <c r="H6" s="5">
        <v>2</v>
      </c>
      <c r="I6" s="5" t="s">
        <v>36</v>
      </c>
      <c r="J6" s="5" t="s">
        <v>37</v>
      </c>
      <c r="K6" s="5" t="s">
        <v>38</v>
      </c>
      <c r="L6" s="5" t="s">
        <v>39</v>
      </c>
      <c r="M6" s="5" t="s">
        <v>40</v>
      </c>
      <c r="N6" s="5" t="s">
        <v>29</v>
      </c>
      <c r="O6" s="5" t="s">
        <v>41</v>
      </c>
      <c r="P6" s="5" t="s">
        <v>42</v>
      </c>
    </row>
    <row r="7" spans="1:16" x14ac:dyDescent="0.3">
      <c r="A7" s="5" t="s">
        <v>55</v>
      </c>
      <c r="B7" s="5" t="s">
        <v>56</v>
      </c>
      <c r="C7" s="5" t="s">
        <v>49</v>
      </c>
      <c r="D7" s="5" t="s">
        <v>50</v>
      </c>
      <c r="E7" s="5">
        <v>15</v>
      </c>
      <c r="F7" s="5" t="s">
        <v>46</v>
      </c>
      <c r="G7" s="5">
        <v>80</v>
      </c>
      <c r="H7" s="5">
        <v>3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  <c r="N7" s="5" t="s">
        <v>29</v>
      </c>
      <c r="O7" s="5" t="s">
        <v>41</v>
      </c>
      <c r="P7" s="5" t="s">
        <v>42</v>
      </c>
    </row>
    <row r="8" spans="1:16" x14ac:dyDescent="0.3">
      <c r="A8" s="5" t="s">
        <v>57</v>
      </c>
      <c r="B8" s="5" t="s">
        <v>58</v>
      </c>
      <c r="C8" s="5" t="s">
        <v>34</v>
      </c>
      <c r="D8" s="5" t="s">
        <v>35</v>
      </c>
      <c r="E8" s="5">
        <v>6</v>
      </c>
      <c r="F8" s="5" t="s">
        <v>35</v>
      </c>
      <c r="G8" s="5">
        <v>80</v>
      </c>
      <c r="H8" s="5">
        <v>1</v>
      </c>
      <c r="I8" s="5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29</v>
      </c>
      <c r="O8" s="5" t="s">
        <v>41</v>
      </c>
      <c r="P8" s="5" t="s">
        <v>42</v>
      </c>
    </row>
    <row r="9" spans="1:16" x14ac:dyDescent="0.3">
      <c r="A9" s="5" t="s">
        <v>59</v>
      </c>
      <c r="B9" s="5" t="s">
        <v>60</v>
      </c>
      <c r="C9" s="5" t="s">
        <v>45</v>
      </c>
      <c r="D9" s="5" t="s">
        <v>46</v>
      </c>
      <c r="E9" s="5">
        <v>16</v>
      </c>
      <c r="F9" s="5" t="s">
        <v>46</v>
      </c>
      <c r="G9" s="5">
        <v>80</v>
      </c>
      <c r="H9" s="5">
        <v>3</v>
      </c>
      <c r="I9" s="5" t="s">
        <v>36</v>
      </c>
      <c r="J9" s="5" t="s">
        <v>37</v>
      </c>
      <c r="K9" s="5" t="s">
        <v>38</v>
      </c>
      <c r="L9" s="5" t="s">
        <v>39</v>
      </c>
      <c r="M9" s="5" t="s">
        <v>40</v>
      </c>
      <c r="N9" s="5" t="s">
        <v>29</v>
      </c>
      <c r="O9" s="5" t="s">
        <v>41</v>
      </c>
      <c r="P9" s="5" t="s">
        <v>42</v>
      </c>
    </row>
    <row r="10" spans="1:16" x14ac:dyDescent="0.3">
      <c r="A10" s="5" t="s">
        <v>61</v>
      </c>
      <c r="B10" s="5" t="s">
        <v>62</v>
      </c>
      <c r="C10" s="5" t="s">
        <v>49</v>
      </c>
      <c r="D10" s="5" t="s">
        <v>50</v>
      </c>
      <c r="E10" s="5">
        <v>10</v>
      </c>
      <c r="F10" s="5" t="s">
        <v>46</v>
      </c>
      <c r="G10" s="5">
        <v>80</v>
      </c>
      <c r="H10" s="5">
        <v>2</v>
      </c>
      <c r="I10" s="5" t="s">
        <v>36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29</v>
      </c>
      <c r="O10" s="5" t="s">
        <v>41</v>
      </c>
      <c r="P10" s="5" t="s">
        <v>42</v>
      </c>
    </row>
    <row r="11" spans="1:16" x14ac:dyDescent="0.3">
      <c r="A11" s="5" t="s">
        <v>63</v>
      </c>
      <c r="B11" s="5" t="s">
        <v>64</v>
      </c>
      <c r="C11" s="5" t="s">
        <v>45</v>
      </c>
      <c r="D11" s="5" t="s">
        <v>46</v>
      </c>
      <c r="E11" s="5">
        <v>12</v>
      </c>
      <c r="F11" s="5" t="s">
        <v>46</v>
      </c>
      <c r="G11" s="5">
        <v>60</v>
      </c>
      <c r="H11" s="5">
        <v>5</v>
      </c>
      <c r="I11" s="5" t="s">
        <v>35</v>
      </c>
      <c r="J11" s="5" t="s">
        <v>37</v>
      </c>
      <c r="K11" s="5" t="s">
        <v>38</v>
      </c>
      <c r="L11" s="5" t="s">
        <v>39</v>
      </c>
      <c r="M11" s="5" t="s">
        <v>40</v>
      </c>
      <c r="N11" s="5" t="s">
        <v>29</v>
      </c>
      <c r="O11" s="5" t="s">
        <v>41</v>
      </c>
      <c r="P11" s="5" t="s">
        <v>42</v>
      </c>
    </row>
    <row r="12" spans="1:16" x14ac:dyDescent="0.3">
      <c r="A12" s="5" t="s">
        <v>65</v>
      </c>
      <c r="B12" s="5" t="s">
        <v>66</v>
      </c>
      <c r="C12" s="5" t="s">
        <v>34</v>
      </c>
      <c r="D12" s="5" t="s">
        <v>35</v>
      </c>
      <c r="E12" s="5">
        <v>6</v>
      </c>
      <c r="F12" s="5" t="s">
        <v>35</v>
      </c>
      <c r="G12" s="5">
        <v>80</v>
      </c>
      <c r="H12" s="5">
        <v>1</v>
      </c>
      <c r="I12" s="5" t="s">
        <v>36</v>
      </c>
      <c r="J12" s="5" t="s">
        <v>37</v>
      </c>
      <c r="K12" s="5" t="s">
        <v>38</v>
      </c>
      <c r="L12" s="5" t="s">
        <v>39</v>
      </c>
      <c r="M12" s="5" t="s">
        <v>40</v>
      </c>
      <c r="N12" s="5" t="s">
        <v>29</v>
      </c>
      <c r="O12" s="5" t="s">
        <v>41</v>
      </c>
      <c r="P12" s="5" t="s">
        <v>42</v>
      </c>
    </row>
    <row r="13" spans="1:16" x14ac:dyDescent="0.3">
      <c r="A13" s="5" t="s">
        <v>67</v>
      </c>
      <c r="B13" s="5" t="s">
        <v>68</v>
      </c>
      <c r="C13" s="5" t="s">
        <v>49</v>
      </c>
      <c r="D13" s="5" t="s">
        <v>50</v>
      </c>
      <c r="E13" s="5">
        <v>20</v>
      </c>
      <c r="F13" s="5" t="s">
        <v>50</v>
      </c>
      <c r="G13" s="5">
        <v>80</v>
      </c>
      <c r="H13" s="5">
        <v>4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29</v>
      </c>
      <c r="O13" s="5" t="s">
        <v>41</v>
      </c>
      <c r="P13" s="5" t="s">
        <v>42</v>
      </c>
    </row>
    <row r="14" spans="1:16" x14ac:dyDescent="0.3">
      <c r="A14" s="5" t="s">
        <v>69</v>
      </c>
      <c r="B14" s="5" t="s">
        <v>70</v>
      </c>
      <c r="C14" s="5" t="s">
        <v>34</v>
      </c>
      <c r="D14" s="5" t="s">
        <v>35</v>
      </c>
      <c r="E14" s="5">
        <v>6</v>
      </c>
      <c r="F14" s="5" t="s">
        <v>35</v>
      </c>
      <c r="G14" s="5">
        <v>80</v>
      </c>
      <c r="H14" s="5">
        <v>1</v>
      </c>
      <c r="I14" s="5" t="s">
        <v>36</v>
      </c>
      <c r="J14" s="5" t="s">
        <v>37</v>
      </c>
      <c r="K14" s="5" t="s">
        <v>38</v>
      </c>
      <c r="L14" s="5" t="s">
        <v>39</v>
      </c>
      <c r="M14" s="5" t="s">
        <v>40</v>
      </c>
      <c r="N14" s="5" t="s">
        <v>29</v>
      </c>
      <c r="O14" s="5" t="s">
        <v>41</v>
      </c>
      <c r="P14" s="5" t="s">
        <v>42</v>
      </c>
    </row>
    <row r="15" spans="1:16" x14ac:dyDescent="0.3">
      <c r="A15" s="5" t="s">
        <v>71</v>
      </c>
      <c r="B15" s="5" t="s">
        <v>72</v>
      </c>
      <c r="C15" s="5" t="s">
        <v>45</v>
      </c>
      <c r="D15" s="5" t="s">
        <v>46</v>
      </c>
      <c r="E15" s="5">
        <v>12</v>
      </c>
      <c r="F15" s="5" t="s">
        <v>46</v>
      </c>
      <c r="G15" s="5">
        <v>80</v>
      </c>
      <c r="H15" s="5">
        <v>2</v>
      </c>
      <c r="I15" s="5" t="s">
        <v>36</v>
      </c>
      <c r="J15" s="5" t="s">
        <v>37</v>
      </c>
      <c r="K15" s="5" t="s">
        <v>38</v>
      </c>
      <c r="L15" s="5" t="s">
        <v>39</v>
      </c>
      <c r="M15" s="5" t="s">
        <v>40</v>
      </c>
      <c r="N15" s="5" t="s">
        <v>29</v>
      </c>
      <c r="O15" s="5" t="s">
        <v>41</v>
      </c>
      <c r="P15" s="5" t="s">
        <v>42</v>
      </c>
    </row>
    <row r="16" spans="1:16" x14ac:dyDescent="0.3">
      <c r="A16" s="5" t="s">
        <v>73</v>
      </c>
      <c r="B16" s="5" t="s">
        <v>74</v>
      </c>
      <c r="C16" s="5" t="s">
        <v>49</v>
      </c>
      <c r="D16" s="5" t="s">
        <v>50</v>
      </c>
      <c r="E16" s="5">
        <v>10</v>
      </c>
      <c r="F16" s="5" t="s">
        <v>46</v>
      </c>
      <c r="G16" s="5">
        <v>60</v>
      </c>
      <c r="H16" s="5">
        <v>4</v>
      </c>
      <c r="I16" s="5" t="s">
        <v>36</v>
      </c>
      <c r="J16" s="5" t="s">
        <v>37</v>
      </c>
      <c r="K16" s="5" t="s">
        <v>38</v>
      </c>
      <c r="L16" s="5" t="s">
        <v>39</v>
      </c>
      <c r="M16" s="5" t="s">
        <v>40</v>
      </c>
      <c r="N16" s="5" t="s">
        <v>29</v>
      </c>
      <c r="O16" s="5" t="s">
        <v>41</v>
      </c>
      <c r="P16" s="5" t="s">
        <v>42</v>
      </c>
    </row>
    <row r="17" spans="1:16" x14ac:dyDescent="0.3">
      <c r="A17" s="5" t="s">
        <v>75</v>
      </c>
      <c r="B17" s="5" t="s">
        <v>76</v>
      </c>
      <c r="C17" s="5" t="s">
        <v>45</v>
      </c>
      <c r="D17" s="5" t="s">
        <v>46</v>
      </c>
      <c r="E17" s="5">
        <v>16</v>
      </c>
      <c r="F17" s="5" t="s">
        <v>46</v>
      </c>
      <c r="G17" s="5">
        <v>80</v>
      </c>
      <c r="H17" s="5">
        <v>3</v>
      </c>
      <c r="I17" s="5" t="s">
        <v>36</v>
      </c>
      <c r="J17" s="5" t="s">
        <v>37</v>
      </c>
      <c r="K17" s="5" t="s">
        <v>38</v>
      </c>
      <c r="L17" s="5" t="s">
        <v>39</v>
      </c>
      <c r="M17" s="5" t="s">
        <v>40</v>
      </c>
      <c r="N17" s="5" t="s">
        <v>29</v>
      </c>
      <c r="O17" s="5" t="s">
        <v>41</v>
      </c>
      <c r="P17" s="5" t="s">
        <v>42</v>
      </c>
    </row>
    <row r="18" spans="1:16" x14ac:dyDescent="0.3">
      <c r="A18" s="5" t="s">
        <v>77</v>
      </c>
      <c r="B18" s="5" t="s">
        <v>78</v>
      </c>
      <c r="C18" s="5" t="s">
        <v>34</v>
      </c>
      <c r="D18" s="5" t="s">
        <v>35</v>
      </c>
      <c r="E18" s="5">
        <v>6</v>
      </c>
      <c r="F18" s="5" t="s">
        <v>35</v>
      </c>
      <c r="G18" s="5">
        <v>80</v>
      </c>
      <c r="H18" s="5">
        <v>1</v>
      </c>
      <c r="I18" s="5" t="s">
        <v>36</v>
      </c>
      <c r="J18" s="5" t="s">
        <v>37</v>
      </c>
      <c r="K18" s="5" t="s">
        <v>38</v>
      </c>
      <c r="L18" s="5" t="s">
        <v>39</v>
      </c>
      <c r="M18" s="5" t="s">
        <v>40</v>
      </c>
      <c r="N18" s="5" t="s">
        <v>29</v>
      </c>
      <c r="O18" s="5" t="s">
        <v>41</v>
      </c>
      <c r="P18" s="5" t="s">
        <v>42</v>
      </c>
    </row>
    <row r="19" spans="1:16" x14ac:dyDescent="0.3">
      <c r="A19" s="5" t="s">
        <v>79</v>
      </c>
      <c r="B19" s="5" t="s">
        <v>80</v>
      </c>
      <c r="C19" s="5" t="s">
        <v>49</v>
      </c>
      <c r="D19" s="5" t="s">
        <v>50</v>
      </c>
      <c r="E19" s="5">
        <v>15</v>
      </c>
      <c r="F19" s="5" t="s">
        <v>46</v>
      </c>
      <c r="G19" s="5">
        <v>80</v>
      </c>
      <c r="H19" s="5">
        <v>3</v>
      </c>
      <c r="I19" s="5" t="s">
        <v>36</v>
      </c>
      <c r="J19" s="5" t="s">
        <v>37</v>
      </c>
      <c r="K19" s="5" t="s">
        <v>38</v>
      </c>
      <c r="L19" s="5" t="s">
        <v>39</v>
      </c>
      <c r="M19" s="5" t="s">
        <v>40</v>
      </c>
      <c r="N19" s="5" t="s">
        <v>29</v>
      </c>
      <c r="O19" s="5" t="s">
        <v>41</v>
      </c>
      <c r="P19" s="5" t="s">
        <v>42</v>
      </c>
    </row>
    <row r="20" spans="1:16" x14ac:dyDescent="0.3">
      <c r="A20" s="5" t="s">
        <v>81</v>
      </c>
      <c r="B20" s="5" t="s">
        <v>82</v>
      </c>
      <c r="C20" s="5" t="s">
        <v>34</v>
      </c>
      <c r="D20" s="5" t="s">
        <v>35</v>
      </c>
      <c r="E20" s="5">
        <v>6</v>
      </c>
      <c r="F20" s="5" t="s">
        <v>35</v>
      </c>
      <c r="G20" s="5">
        <v>80</v>
      </c>
      <c r="H20" s="5">
        <v>1</v>
      </c>
      <c r="I20" s="5" t="s">
        <v>36</v>
      </c>
      <c r="J20" s="5" t="s">
        <v>37</v>
      </c>
      <c r="K20" s="5" t="s">
        <v>38</v>
      </c>
      <c r="L20" s="5" t="s">
        <v>39</v>
      </c>
      <c r="M20" s="5" t="s">
        <v>40</v>
      </c>
      <c r="N20" s="5" t="s">
        <v>29</v>
      </c>
      <c r="O20" s="5" t="s">
        <v>41</v>
      </c>
      <c r="P20" s="5" t="s">
        <v>42</v>
      </c>
    </row>
    <row r="21" spans="1:16" x14ac:dyDescent="0.3">
      <c r="A21" s="5" t="s">
        <v>83</v>
      </c>
      <c r="B21" s="5" t="s">
        <v>84</v>
      </c>
      <c r="C21" s="5" t="s">
        <v>45</v>
      </c>
      <c r="D21" s="5" t="s">
        <v>46</v>
      </c>
      <c r="E21" s="5">
        <v>16</v>
      </c>
      <c r="F21" s="5" t="s">
        <v>46</v>
      </c>
      <c r="G21" s="5">
        <v>60</v>
      </c>
      <c r="H21" s="5">
        <v>6</v>
      </c>
      <c r="I21" s="5" t="s">
        <v>35</v>
      </c>
      <c r="J21" s="5" t="s">
        <v>37</v>
      </c>
      <c r="K21" s="5" t="s">
        <v>38</v>
      </c>
      <c r="L21" s="5" t="s">
        <v>39</v>
      </c>
      <c r="M21" s="5" t="s">
        <v>40</v>
      </c>
      <c r="N21" s="5" t="s">
        <v>29</v>
      </c>
      <c r="O21" s="5" t="s">
        <v>41</v>
      </c>
      <c r="P21" s="5" t="s">
        <v>42</v>
      </c>
    </row>
    <row r="22" spans="1:16" x14ac:dyDescent="0.3">
      <c r="A22" s="5" t="s">
        <v>85</v>
      </c>
      <c r="B22" s="5" t="s">
        <v>86</v>
      </c>
      <c r="C22" s="5" t="s">
        <v>49</v>
      </c>
      <c r="D22" s="5" t="s">
        <v>50</v>
      </c>
      <c r="E22" s="5">
        <v>10</v>
      </c>
      <c r="F22" s="5" t="s">
        <v>46</v>
      </c>
      <c r="G22" s="5">
        <v>80</v>
      </c>
      <c r="H22" s="5">
        <v>2</v>
      </c>
      <c r="I22" s="5" t="s">
        <v>36</v>
      </c>
      <c r="J22" s="5" t="s">
        <v>37</v>
      </c>
      <c r="K22" s="5" t="s">
        <v>38</v>
      </c>
      <c r="L22" s="5" t="s">
        <v>39</v>
      </c>
      <c r="M22" s="5" t="s">
        <v>40</v>
      </c>
      <c r="N22" s="5" t="s">
        <v>29</v>
      </c>
      <c r="O22" s="5" t="s">
        <v>41</v>
      </c>
      <c r="P22" s="5" t="s">
        <v>42</v>
      </c>
    </row>
    <row r="23" spans="1:16" x14ac:dyDescent="0.3">
      <c r="A23" s="5" t="s">
        <v>87</v>
      </c>
      <c r="B23" s="5" t="s">
        <v>88</v>
      </c>
      <c r="C23" s="5" t="s">
        <v>45</v>
      </c>
      <c r="D23" s="5" t="s">
        <v>46</v>
      </c>
      <c r="E23" s="5">
        <v>12</v>
      </c>
      <c r="F23" s="5" t="s">
        <v>46</v>
      </c>
      <c r="G23" s="5">
        <v>80</v>
      </c>
      <c r="H23" s="5">
        <v>2</v>
      </c>
      <c r="I23" s="5" t="s">
        <v>36</v>
      </c>
      <c r="J23" s="5" t="s">
        <v>37</v>
      </c>
      <c r="K23" s="5" t="s">
        <v>38</v>
      </c>
      <c r="L23" s="5" t="s">
        <v>39</v>
      </c>
      <c r="M23" s="5" t="s">
        <v>40</v>
      </c>
      <c r="N23" s="5" t="s">
        <v>29</v>
      </c>
      <c r="O23" s="5" t="s">
        <v>41</v>
      </c>
      <c r="P23" s="5" t="s">
        <v>42</v>
      </c>
    </row>
    <row r="24" spans="1:16" x14ac:dyDescent="0.3">
      <c r="A24" s="5" t="s">
        <v>89</v>
      </c>
      <c r="B24" s="5" t="s">
        <v>90</v>
      </c>
      <c r="C24" s="5" t="s">
        <v>34</v>
      </c>
      <c r="D24" s="5" t="s">
        <v>35</v>
      </c>
      <c r="E24" s="5">
        <v>6</v>
      </c>
      <c r="F24" s="5" t="s">
        <v>35</v>
      </c>
      <c r="G24" s="5">
        <v>80</v>
      </c>
      <c r="H24" s="5">
        <v>1</v>
      </c>
      <c r="I24" s="5" t="s">
        <v>36</v>
      </c>
      <c r="J24" s="5" t="s">
        <v>37</v>
      </c>
      <c r="K24" s="5" t="s">
        <v>38</v>
      </c>
      <c r="L24" s="5" t="s">
        <v>39</v>
      </c>
      <c r="M24" s="5" t="s">
        <v>40</v>
      </c>
      <c r="N24" s="5" t="s">
        <v>29</v>
      </c>
      <c r="O24" s="5" t="s">
        <v>41</v>
      </c>
      <c r="P24" s="5" t="s">
        <v>42</v>
      </c>
    </row>
    <row r="25" spans="1:16" x14ac:dyDescent="0.3">
      <c r="A25" s="5" t="s">
        <v>91</v>
      </c>
      <c r="B25" s="5" t="s">
        <v>92</v>
      </c>
      <c r="C25" s="5" t="s">
        <v>49</v>
      </c>
      <c r="D25" s="5" t="s">
        <v>50</v>
      </c>
      <c r="E25" s="5">
        <v>20</v>
      </c>
      <c r="F25" s="5" t="s">
        <v>50</v>
      </c>
      <c r="G25" s="5">
        <v>80</v>
      </c>
      <c r="H25" s="5">
        <v>4</v>
      </c>
      <c r="I25" s="5" t="s">
        <v>36</v>
      </c>
      <c r="J25" s="5" t="s">
        <v>37</v>
      </c>
      <c r="K25" s="5" t="s">
        <v>38</v>
      </c>
      <c r="L25" s="5" t="s">
        <v>39</v>
      </c>
      <c r="M25" s="5" t="s">
        <v>40</v>
      </c>
      <c r="N25" s="5" t="s">
        <v>29</v>
      </c>
      <c r="O25" s="5" t="s">
        <v>41</v>
      </c>
      <c r="P25" s="5" t="s">
        <v>42</v>
      </c>
    </row>
    <row r="26" spans="1:16" x14ac:dyDescent="0.3">
      <c r="A26" s="5" t="s">
        <v>93</v>
      </c>
      <c r="B26" s="5" t="s">
        <v>94</v>
      </c>
      <c r="C26" s="5" t="s">
        <v>34</v>
      </c>
      <c r="D26" s="5" t="s">
        <v>35</v>
      </c>
      <c r="E26" s="5">
        <v>6</v>
      </c>
      <c r="F26" s="5" t="s">
        <v>35</v>
      </c>
      <c r="G26" s="5">
        <v>60</v>
      </c>
      <c r="H26" s="5">
        <v>2</v>
      </c>
      <c r="I26" s="5" t="s">
        <v>36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29</v>
      </c>
      <c r="O26" s="5" t="s">
        <v>41</v>
      </c>
      <c r="P26" s="5" t="s">
        <v>42</v>
      </c>
    </row>
    <row r="27" spans="1:16" x14ac:dyDescent="0.3">
      <c r="A27" s="5" t="s">
        <v>95</v>
      </c>
      <c r="B27" s="5" t="s">
        <v>96</v>
      </c>
      <c r="C27" s="5" t="s">
        <v>45</v>
      </c>
      <c r="D27" s="5" t="s">
        <v>46</v>
      </c>
      <c r="E27" s="5">
        <v>12</v>
      </c>
      <c r="F27" s="5" t="s">
        <v>46</v>
      </c>
      <c r="G27" s="5">
        <v>80</v>
      </c>
      <c r="H27" s="5">
        <v>2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29</v>
      </c>
      <c r="O27" s="5" t="s">
        <v>41</v>
      </c>
      <c r="P27" s="5" t="s">
        <v>42</v>
      </c>
    </row>
    <row r="28" spans="1:16" x14ac:dyDescent="0.3">
      <c r="A28" s="5" t="s">
        <v>97</v>
      </c>
      <c r="B28" s="5" t="s">
        <v>98</v>
      </c>
      <c r="C28" s="5" t="s">
        <v>49</v>
      </c>
      <c r="D28" s="5" t="s">
        <v>50</v>
      </c>
      <c r="E28" s="5">
        <v>10</v>
      </c>
      <c r="F28" s="5" t="s">
        <v>46</v>
      </c>
      <c r="G28" s="5">
        <v>80</v>
      </c>
      <c r="H28" s="5">
        <v>2</v>
      </c>
      <c r="I28" s="5" t="s">
        <v>36</v>
      </c>
      <c r="J28" s="5" t="s">
        <v>37</v>
      </c>
      <c r="K28" s="5" t="s">
        <v>38</v>
      </c>
      <c r="L28" s="5" t="s">
        <v>39</v>
      </c>
      <c r="M28" s="5" t="s">
        <v>40</v>
      </c>
      <c r="N28" s="5" t="s">
        <v>29</v>
      </c>
      <c r="O28" s="5" t="s">
        <v>41</v>
      </c>
      <c r="P28" s="5" t="s">
        <v>42</v>
      </c>
    </row>
    <row r="29" spans="1:16" x14ac:dyDescent="0.3">
      <c r="A29" s="5" t="s">
        <v>99</v>
      </c>
      <c r="B29" s="5" t="s">
        <v>100</v>
      </c>
      <c r="C29" s="5" t="s">
        <v>45</v>
      </c>
      <c r="D29" s="5" t="s">
        <v>46</v>
      </c>
      <c r="E29" s="5">
        <v>16</v>
      </c>
      <c r="F29" s="5" t="s">
        <v>46</v>
      </c>
      <c r="G29" s="5">
        <v>80</v>
      </c>
      <c r="H29" s="5">
        <v>3</v>
      </c>
      <c r="I29" s="5" t="s">
        <v>36</v>
      </c>
      <c r="J29" s="5" t="s">
        <v>37</v>
      </c>
      <c r="K29" s="5" t="s">
        <v>38</v>
      </c>
      <c r="L29" s="5" t="s">
        <v>39</v>
      </c>
      <c r="M29" s="5" t="s">
        <v>40</v>
      </c>
      <c r="N29" s="5" t="s">
        <v>29</v>
      </c>
      <c r="O29" s="5" t="s">
        <v>41</v>
      </c>
      <c r="P29" s="5" t="s">
        <v>42</v>
      </c>
    </row>
    <row r="30" spans="1:16" x14ac:dyDescent="0.3">
      <c r="A30" s="5" t="s">
        <v>101</v>
      </c>
      <c r="B30" s="5" t="s">
        <v>102</v>
      </c>
      <c r="C30" s="5" t="s">
        <v>34</v>
      </c>
      <c r="D30" s="5" t="s">
        <v>35</v>
      </c>
      <c r="E30" s="5">
        <v>6</v>
      </c>
      <c r="F30" s="5" t="s">
        <v>35</v>
      </c>
      <c r="G30" s="5">
        <v>80</v>
      </c>
      <c r="H30" s="5">
        <v>1</v>
      </c>
      <c r="I30" s="5" t="s">
        <v>36</v>
      </c>
      <c r="J30" s="5" t="s">
        <v>37</v>
      </c>
      <c r="K30" s="5" t="s">
        <v>38</v>
      </c>
      <c r="L30" s="5" t="s">
        <v>39</v>
      </c>
      <c r="M30" s="5" t="s">
        <v>40</v>
      </c>
      <c r="N30" s="5" t="s">
        <v>29</v>
      </c>
      <c r="O30" s="5" t="s">
        <v>41</v>
      </c>
      <c r="P30" s="5" t="s">
        <v>42</v>
      </c>
    </row>
    <row r="31" spans="1:16" x14ac:dyDescent="0.3">
      <c r="A31" s="5" t="s">
        <v>103</v>
      </c>
      <c r="B31" s="5" t="s">
        <v>104</v>
      </c>
      <c r="C31" s="5" t="s">
        <v>49</v>
      </c>
      <c r="D31" s="5" t="s">
        <v>50</v>
      </c>
      <c r="E31" s="5">
        <v>15</v>
      </c>
      <c r="F31" s="5" t="s">
        <v>46</v>
      </c>
      <c r="G31" s="5">
        <v>60</v>
      </c>
      <c r="H31" s="5">
        <v>6</v>
      </c>
      <c r="I31" s="5" t="s">
        <v>35</v>
      </c>
      <c r="J31" s="5" t="s">
        <v>37</v>
      </c>
      <c r="K31" s="5" t="s">
        <v>38</v>
      </c>
      <c r="L31" s="5" t="s">
        <v>39</v>
      </c>
      <c r="M31" s="5" t="s">
        <v>40</v>
      </c>
      <c r="N31" s="5" t="s">
        <v>29</v>
      </c>
      <c r="O31" s="5" t="s">
        <v>41</v>
      </c>
      <c r="P31" s="5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F11"/>
  <sheetViews>
    <sheetView workbookViewId="0">
      <selection activeCell="I4" sqref="I4"/>
    </sheetView>
  </sheetViews>
  <sheetFormatPr defaultRowHeight="14.4" x14ac:dyDescent="0.3"/>
  <cols>
    <col min="1" max="1" width="34" customWidth="1"/>
    <col min="2" max="2" width="24" customWidth="1"/>
    <col min="3" max="3" width="85" customWidth="1"/>
    <col min="5" max="5" width="13.88671875" bestFit="1" customWidth="1"/>
    <col min="6" max="6" width="12.77734375" bestFit="1" customWidth="1"/>
  </cols>
  <sheetData>
    <row r="1" spans="1:6" x14ac:dyDescent="0.3">
      <c r="A1" s="6" t="s">
        <v>105</v>
      </c>
      <c r="B1" s="6" t="s">
        <v>106</v>
      </c>
      <c r="C1" s="6" t="s">
        <v>107</v>
      </c>
      <c r="E1" s="7" t="s">
        <v>24</v>
      </c>
      <c r="F1" s="7" t="s">
        <v>108</v>
      </c>
    </row>
    <row r="2" spans="1:6" x14ac:dyDescent="0.3">
      <c r="A2" s="5" t="s">
        <v>109</v>
      </c>
      <c r="B2" s="5">
        <f>COUNTA('Vendor Risk Profile'!A:A)-1</f>
        <v>30</v>
      </c>
      <c r="C2" s="5" t="s">
        <v>110</v>
      </c>
      <c r="E2" s="8" t="s">
        <v>36</v>
      </c>
      <c r="F2" s="8">
        <f>COUNTIF('Vendor Risk Profile'!I:I,E2)</f>
        <v>27</v>
      </c>
    </row>
    <row r="3" spans="1:6" x14ac:dyDescent="0.3">
      <c r="A3" s="5" t="s">
        <v>111</v>
      </c>
      <c r="B3" s="5">
        <f>COUNTIF('Vendor Risk Profile'!D:D,"Critical")</f>
        <v>10</v>
      </c>
      <c r="C3" s="5" t="s">
        <v>112</v>
      </c>
      <c r="E3" s="8" t="s">
        <v>35</v>
      </c>
      <c r="F3" s="8">
        <f>COUNTIF('Vendor Risk Profile'!I:I,E3)</f>
        <v>3</v>
      </c>
    </row>
    <row r="4" spans="1:6" x14ac:dyDescent="0.3">
      <c r="A4" s="5" t="s">
        <v>113</v>
      </c>
      <c r="B4" s="5">
        <f>COUNTIF('Vendor Risk Profile'!D:D,"High")</f>
        <v>10</v>
      </c>
      <c r="C4" s="5" t="s">
        <v>114</v>
      </c>
      <c r="E4" s="8" t="s">
        <v>46</v>
      </c>
      <c r="F4" s="8">
        <f>COUNTIF('Vendor Risk Profile'!I:I,E4)</f>
        <v>0</v>
      </c>
    </row>
    <row r="5" spans="1:6" x14ac:dyDescent="0.3">
      <c r="A5" s="5" t="s">
        <v>115</v>
      </c>
      <c r="B5" s="5">
        <f>COUNTIF('Vendor Risk Profile'!I:I,"Critical")</f>
        <v>0</v>
      </c>
      <c r="C5" s="5" t="s">
        <v>116</v>
      </c>
      <c r="E5" s="8" t="s">
        <v>50</v>
      </c>
      <c r="F5" s="8">
        <f>COUNTIF('Vendor Risk Profile'!I:I,E5)</f>
        <v>0</v>
      </c>
    </row>
    <row r="6" spans="1:6" x14ac:dyDescent="0.3">
      <c r="A6" s="5" t="s">
        <v>117</v>
      </c>
      <c r="B6" s="5">
        <f>COUNTIF('Vendor Risk Profile'!I:I,"High")</f>
        <v>0</v>
      </c>
      <c r="C6" s="5" t="s">
        <v>118</v>
      </c>
    </row>
    <row r="7" spans="1:6" x14ac:dyDescent="0.3">
      <c r="A7" s="5" t="s">
        <v>119</v>
      </c>
      <c r="B7" s="5">
        <f>COUNTIF('Vendor Risk Profile'!I:I,"Medium")</f>
        <v>3</v>
      </c>
      <c r="C7" s="5" t="s">
        <v>120</v>
      </c>
    </row>
    <row r="8" spans="1:6" x14ac:dyDescent="0.3">
      <c r="A8" s="5" t="s">
        <v>121</v>
      </c>
      <c r="B8" s="5">
        <f>COUNTIF('Vendor Risk Profile'!I:I,"Low")</f>
        <v>27</v>
      </c>
      <c r="C8" s="5" t="s">
        <v>122</v>
      </c>
    </row>
    <row r="9" spans="1:6" x14ac:dyDescent="0.3">
      <c r="A9" s="5" t="s">
        <v>123</v>
      </c>
      <c r="B9" s="5">
        <f>COUNTIF('Vendor Risk Profile'!K:K,"Yes")</f>
        <v>0</v>
      </c>
      <c r="C9" s="5" t="s">
        <v>124</v>
      </c>
    </row>
    <row r="10" spans="1:6" x14ac:dyDescent="0.3">
      <c r="A10" s="5" t="s">
        <v>125</v>
      </c>
      <c r="B10" s="5">
        <f>COUNTIF('Vendor Risk Profile'!J:J,"Mitigate")</f>
        <v>30</v>
      </c>
      <c r="C10" s="5" t="s">
        <v>126</v>
      </c>
    </row>
    <row r="11" spans="1:6" x14ac:dyDescent="0.3">
      <c r="A11" s="5" t="s">
        <v>127</v>
      </c>
      <c r="B11" s="5">
        <f>COUNTIF('Vendor Risk Profile'!L:L,"Assessed")/COUNTA('Vendor Risk Profile'!A:A)</f>
        <v>0.967741935483871</v>
      </c>
      <c r="C11" s="5" t="s">
        <v>128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6"/>
  <sheetViews>
    <sheetView workbookViewId="0">
      <selection activeCell="C22" sqref="C22"/>
    </sheetView>
  </sheetViews>
  <sheetFormatPr defaultRowHeight="14.4" x14ac:dyDescent="0.3"/>
  <cols>
    <col min="1" max="1" width="14" customWidth="1"/>
    <col min="2" max="2" width="65" customWidth="1"/>
    <col min="3" max="3" width="45" customWidth="1"/>
    <col min="4" max="4" width="28" customWidth="1"/>
    <col min="5" max="6" width="18" customWidth="1"/>
  </cols>
  <sheetData>
    <row r="1" spans="1:6" x14ac:dyDescent="0.3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6</v>
      </c>
    </row>
    <row r="2" spans="1:6" x14ac:dyDescent="0.3">
      <c r="A2" s="5" t="s">
        <v>46</v>
      </c>
      <c r="B2" s="5" t="s">
        <v>134</v>
      </c>
      <c r="C2" s="5" t="s">
        <v>135</v>
      </c>
      <c r="D2" s="5" t="s">
        <v>136</v>
      </c>
      <c r="E2" s="5" t="s">
        <v>137</v>
      </c>
      <c r="F2" s="5" t="s">
        <v>138</v>
      </c>
    </row>
    <row r="3" spans="1:6" x14ac:dyDescent="0.3">
      <c r="A3" s="5" t="s">
        <v>46</v>
      </c>
      <c r="B3" s="5" t="s">
        <v>139</v>
      </c>
      <c r="C3" s="5" t="s">
        <v>140</v>
      </c>
      <c r="D3" s="5" t="s">
        <v>141</v>
      </c>
      <c r="E3" s="5" t="s">
        <v>142</v>
      </c>
      <c r="F3" s="5" t="s">
        <v>138</v>
      </c>
    </row>
    <row r="4" spans="1:6" x14ac:dyDescent="0.3">
      <c r="A4" s="5" t="s">
        <v>46</v>
      </c>
      <c r="B4" s="5" t="s">
        <v>143</v>
      </c>
      <c r="C4" s="5" t="s">
        <v>144</v>
      </c>
      <c r="D4" s="5" t="s">
        <v>145</v>
      </c>
      <c r="E4" s="5" t="s">
        <v>137</v>
      </c>
      <c r="F4" s="5" t="s">
        <v>138</v>
      </c>
    </row>
    <row r="5" spans="1:6" x14ac:dyDescent="0.3">
      <c r="A5" s="5" t="s">
        <v>35</v>
      </c>
      <c r="B5" s="5" t="s">
        <v>146</v>
      </c>
      <c r="C5" s="5" t="s">
        <v>147</v>
      </c>
      <c r="D5" s="5" t="s">
        <v>148</v>
      </c>
      <c r="E5" s="5" t="s">
        <v>149</v>
      </c>
      <c r="F5" s="5" t="s">
        <v>138</v>
      </c>
    </row>
    <row r="6" spans="1:6" x14ac:dyDescent="0.3">
      <c r="A6" s="5" t="s">
        <v>35</v>
      </c>
      <c r="B6" s="5" t="s">
        <v>150</v>
      </c>
      <c r="C6" s="5" t="s">
        <v>151</v>
      </c>
      <c r="D6" s="5" t="s">
        <v>136</v>
      </c>
      <c r="E6" s="5" t="s">
        <v>152</v>
      </c>
      <c r="F6" s="5" t="s">
        <v>138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B9"/>
  <sheetViews>
    <sheetView workbookViewId="0">
      <selection activeCell="B22" sqref="B2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6" t="s">
        <v>153</v>
      </c>
      <c r="B1" s="6" t="s">
        <v>154</v>
      </c>
    </row>
    <row r="2" spans="1:2" x14ac:dyDescent="0.3">
      <c r="A2" s="5" t="s">
        <v>155</v>
      </c>
      <c r="B2" s="5" t="s">
        <v>156</v>
      </c>
    </row>
    <row r="3" spans="1:2" x14ac:dyDescent="0.3">
      <c r="A3" s="5" t="s">
        <v>157</v>
      </c>
      <c r="B3" s="5" t="s">
        <v>158</v>
      </c>
    </row>
    <row r="4" spans="1:2" x14ac:dyDescent="0.3">
      <c r="A4" s="5" t="s">
        <v>159</v>
      </c>
      <c r="B4" s="5" t="s">
        <v>160</v>
      </c>
    </row>
    <row r="5" spans="1:2" x14ac:dyDescent="0.3">
      <c r="A5" s="5" t="s">
        <v>161</v>
      </c>
      <c r="B5" s="5" t="s">
        <v>158</v>
      </c>
    </row>
    <row r="6" spans="1:2" x14ac:dyDescent="0.3">
      <c r="A6" s="5" t="s">
        <v>162</v>
      </c>
      <c r="B6" s="5" t="s">
        <v>163</v>
      </c>
    </row>
    <row r="7" spans="1:2" x14ac:dyDescent="0.3">
      <c r="A7" s="5" t="s">
        <v>164</v>
      </c>
      <c r="B7" s="5" t="s">
        <v>165</v>
      </c>
    </row>
    <row r="8" spans="1:2" x14ac:dyDescent="0.3">
      <c r="A8" s="5" t="s">
        <v>166</v>
      </c>
      <c r="B8" s="5" t="s">
        <v>167</v>
      </c>
    </row>
    <row r="9" spans="1:2" x14ac:dyDescent="0.3">
      <c r="A9" s="5" t="s">
        <v>168</v>
      </c>
      <c r="B9" s="5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Summary</vt:lpstr>
      <vt:lpstr>Vendor Risk Profile</vt:lpstr>
      <vt:lpstr>Risk Dashboard</vt:lpstr>
      <vt:lpstr>Management Recommendations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2026-08-27T15:38:57Z</dcterms:created>
  <dcterms:modified xsi:type="dcterms:W3CDTF">2026-08-27T15:41:47Z</dcterms:modified>
</cp:coreProperties>
</file>