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749D2342-4678-4313-82A1-A133DA42C79A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Executive Report" sheetId="1" r:id="rId1"/>
    <sheet name="Management Dashboard" sheetId="2" r:id="rId2"/>
    <sheet name="TPRM-007 Assessment Data" sheetId="3" r:id="rId3"/>
    <sheet name="Management Actions" sheetId="4" r:id="rId4"/>
    <sheet name="Report Se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<sst xmlns="http://schemas.openxmlformats.org/spreadsheetml/2006/main" count="901" uniqueCount="233">
  <si>
    <t>TPRM EXECUTIVE MANAGEMENT REPORT</t>
  </si>
  <si>
    <t>Mayekar Technologies Pvt. Ltd.</t>
  </si>
  <si>
    <t>Report ID</t>
  </si>
  <si>
    <t>TPRM-MGT-001</t>
  </si>
  <si>
    <t>Version</t>
  </si>
  <si>
    <t>1.0</t>
  </si>
  <si>
    <t>Reporting Period</t>
  </si>
  <si>
    <t>Portfolio / Demonstration Period</t>
  </si>
  <si>
    <t>Report Status</t>
  </si>
  <si>
    <t>Portfolio / Simulated Evidence</t>
  </si>
  <si>
    <t>Purpose</t>
  </si>
  <si>
    <t>Provide management-level visibility into third-party risk governance, vendor risk exposure, remediation, acceptance, monitoring and key program indicators.</t>
  </si>
  <si>
    <t>Scope</t>
  </si>
  <si>
    <t>TPRM-001 to TPRM-030 core document framework.</t>
  </si>
  <si>
    <t>Executive Assessment</t>
  </si>
  <si>
    <t>The TPRM framework provides a structured lifecycle covering governance, vendor inventory, due diligence, security assessment, risk assessment, treatment, acceptance, monitoring, incidents, BCDR, privacy and offboarding.</t>
  </si>
  <si>
    <t>Key Management Focus</t>
  </si>
  <si>
    <t>Risk ownership, timely remediation, evidence quality, residual-risk acceptance, continuous monitoring and periodic reassessment.</t>
  </si>
  <si>
    <t>Evidence Disclaimer</t>
  </si>
  <si>
    <t>All example metrics and records in this portfolio report are simulated and must not be represented as actual organizational or vendor evidence.</t>
  </si>
  <si>
    <t>KPI / KRI</t>
  </si>
  <si>
    <t>Value</t>
  </si>
  <si>
    <t>Management Interpretation</t>
  </si>
  <si>
    <t>Status</t>
  </si>
  <si>
    <t>Core TPRM Documents</t>
  </si>
  <si>
    <t>Documents in approved portfolio scope</t>
  </si>
  <si>
    <t>Complete</t>
  </si>
  <si>
    <t>Vendor Assessments</t>
  </si>
  <si>
    <t>Simulated vendor assessment population</t>
  </si>
  <si>
    <t>Portfolio</t>
  </si>
  <si>
    <t>Critical Vendors</t>
  </si>
  <si>
    <t>Requires enhanced governance and monitoring</t>
  </si>
  <si>
    <t>Monitor</t>
  </si>
  <si>
    <t>High Residual Risk</t>
  </si>
  <si>
    <t>Requires risk treatment and management attention</t>
  </si>
  <si>
    <t>Critical Residual Risk</t>
  </si>
  <si>
    <t>Requires escalation / acceptance decision</t>
  </si>
  <si>
    <t>Risk Acceptance Required</t>
  </si>
  <si>
    <t>Formal residual-risk decision required</t>
  </si>
  <si>
    <t>Open Treatments</t>
  </si>
  <si>
    <t>Treatment actions to be tracked</t>
  </si>
  <si>
    <t>Evidence Validation Pending</t>
  </si>
  <si>
    <t>Evidence validation records require review</t>
  </si>
  <si>
    <t>Pending</t>
  </si>
  <si>
    <t>Management Review</t>
  </si>
  <si>
    <t>Management review record to be completed</t>
  </si>
  <si>
    <t>Assessment ID</t>
  </si>
  <si>
    <t>Vendor ID</t>
  </si>
  <si>
    <t>Vendor Name</t>
  </si>
  <si>
    <t>Vendor Tier</t>
  </si>
  <si>
    <t>Business Owner</t>
  </si>
  <si>
    <t>Vendor Owner</t>
  </si>
  <si>
    <t>Service</t>
  </si>
  <si>
    <t>Criticality</t>
  </si>
  <si>
    <t>Data Sensitivity</t>
  </si>
  <si>
    <t>Data Types</t>
  </si>
  <si>
    <t>System Access</t>
  </si>
  <si>
    <t>Privileged Access</t>
  </si>
  <si>
    <t>Regulatory Impact</t>
  </si>
  <si>
    <t>Business Dependency</t>
  </si>
  <si>
    <t>Geographic Exposure</t>
  </si>
  <si>
    <t>Subprocessor</t>
  </si>
  <si>
    <t>Concentration</t>
  </si>
  <si>
    <t>Threat</t>
  </si>
  <si>
    <t>Vulnerability</t>
  </si>
  <si>
    <t>Impact</t>
  </si>
  <si>
    <t>Likelihood</t>
  </si>
  <si>
    <t>Inherent Score</t>
  </si>
  <si>
    <t>Inherent Rating</t>
  </si>
  <si>
    <t>Control Effectiveness</t>
  </si>
  <si>
    <t>Residual Score</t>
  </si>
  <si>
    <t>Residual Rating</t>
  </si>
  <si>
    <t>Treatment</t>
  </si>
  <si>
    <t>Target Rating</t>
  </si>
  <si>
    <t>Acceptance Required</t>
  </si>
  <si>
    <t>VRA-001</t>
  </si>
  <si>
    <t>VND-001</t>
  </si>
  <si>
    <t>Portfolio Vendor 01</t>
  </si>
  <si>
    <t>Tier 3</t>
  </si>
  <si>
    <t>Vendor Manager</t>
  </si>
  <si>
    <t>Third-Party Service</t>
  </si>
  <si>
    <t>Medium</t>
  </si>
  <si>
    <t>Business Data</t>
  </si>
  <si>
    <t>Application / API</t>
  </si>
  <si>
    <t>No</t>
  </si>
  <si>
    <t>To Be Assessed</t>
  </si>
  <si>
    <t>India / Global</t>
  </si>
  <si>
    <t>Low</t>
  </si>
  <si>
    <t>Mitigate</t>
  </si>
  <si>
    <t>Assessed</t>
  </si>
  <si>
    <t>VRA-002</t>
  </si>
  <si>
    <t>VND-002</t>
  </si>
  <si>
    <t>Portfolio Vendor 02</t>
  </si>
  <si>
    <t>Tier 2</t>
  </si>
  <si>
    <t>High</t>
  </si>
  <si>
    <t>VRA-003</t>
  </si>
  <si>
    <t>VND-003</t>
  </si>
  <si>
    <t>Portfolio Vendor 03</t>
  </si>
  <si>
    <t>Tier 1</t>
  </si>
  <si>
    <t>Critical</t>
  </si>
  <si>
    <t>VRA-004</t>
  </si>
  <si>
    <t>VND-004</t>
  </si>
  <si>
    <t>Portfolio Vendor 04</t>
  </si>
  <si>
    <t>VRA-005</t>
  </si>
  <si>
    <t>VND-005</t>
  </si>
  <si>
    <t>Portfolio Vendor 05</t>
  </si>
  <si>
    <t>VRA-006</t>
  </si>
  <si>
    <t>VND-006</t>
  </si>
  <si>
    <t>Portfolio Vendor 06</t>
  </si>
  <si>
    <t>VRA-007</t>
  </si>
  <si>
    <t>VND-007</t>
  </si>
  <si>
    <t>Portfolio Vendor 07</t>
  </si>
  <si>
    <t>VRA-008</t>
  </si>
  <si>
    <t>VND-008</t>
  </si>
  <si>
    <t>Portfolio Vendor 08</t>
  </si>
  <si>
    <t>VRA-009</t>
  </si>
  <si>
    <t>VND-009</t>
  </si>
  <si>
    <t>Portfolio Vendor 09</t>
  </si>
  <si>
    <t>VRA-010</t>
  </si>
  <si>
    <t>VND-010</t>
  </si>
  <si>
    <t>Portfolio Vendor 10</t>
  </si>
  <si>
    <t>VRA-011</t>
  </si>
  <si>
    <t>VND-011</t>
  </si>
  <si>
    <t>Portfolio Vendor 11</t>
  </si>
  <si>
    <t>VRA-012</t>
  </si>
  <si>
    <t>VND-012</t>
  </si>
  <si>
    <t>Portfolio Vendor 12</t>
  </si>
  <si>
    <t>VRA-013</t>
  </si>
  <si>
    <t>VND-013</t>
  </si>
  <si>
    <t>Portfolio Vendor 13</t>
  </si>
  <si>
    <t>VRA-014</t>
  </si>
  <si>
    <t>VND-014</t>
  </si>
  <si>
    <t>Portfolio Vendor 14</t>
  </si>
  <si>
    <t>VRA-015</t>
  </si>
  <si>
    <t>VND-015</t>
  </si>
  <si>
    <t>Portfolio Vendor 15</t>
  </si>
  <si>
    <t>VRA-016</t>
  </si>
  <si>
    <t>VND-016</t>
  </si>
  <si>
    <t>Portfolio Vendor 16</t>
  </si>
  <si>
    <t>VRA-017</t>
  </si>
  <si>
    <t>VND-017</t>
  </si>
  <si>
    <t>Portfolio Vendor 17</t>
  </si>
  <si>
    <t>VRA-018</t>
  </si>
  <si>
    <t>VND-018</t>
  </si>
  <si>
    <t>Portfolio Vendor 18</t>
  </si>
  <si>
    <t>VRA-019</t>
  </si>
  <si>
    <t>VND-019</t>
  </si>
  <si>
    <t>Portfolio Vendor 19</t>
  </si>
  <si>
    <t>VRA-020</t>
  </si>
  <si>
    <t>VND-020</t>
  </si>
  <si>
    <t>Portfolio Vendor 20</t>
  </si>
  <si>
    <t>VRA-021</t>
  </si>
  <si>
    <t>VND-021</t>
  </si>
  <si>
    <t>Portfolio Vendor 21</t>
  </si>
  <si>
    <t>VRA-022</t>
  </si>
  <si>
    <t>VND-022</t>
  </si>
  <si>
    <t>Portfolio Vendor 22</t>
  </si>
  <si>
    <t>VRA-023</t>
  </si>
  <si>
    <t>VND-023</t>
  </si>
  <si>
    <t>Portfolio Vendor 23</t>
  </si>
  <si>
    <t>VRA-024</t>
  </si>
  <si>
    <t>VND-024</t>
  </si>
  <si>
    <t>Portfolio Vendor 24</t>
  </si>
  <si>
    <t>VRA-025</t>
  </si>
  <si>
    <t>VND-025</t>
  </si>
  <si>
    <t>Portfolio Vendor 25</t>
  </si>
  <si>
    <t>VRA-026</t>
  </si>
  <si>
    <t>VND-026</t>
  </si>
  <si>
    <t>Portfolio Vendor 26</t>
  </si>
  <si>
    <t>VRA-027</t>
  </si>
  <si>
    <t>VND-027</t>
  </si>
  <si>
    <t>Portfolio Vendor 27</t>
  </si>
  <si>
    <t>VRA-028</t>
  </si>
  <si>
    <t>VND-028</t>
  </si>
  <si>
    <t>Portfolio Vendor 28</t>
  </si>
  <si>
    <t>VRA-029</t>
  </si>
  <si>
    <t>VND-029</t>
  </si>
  <si>
    <t>Portfolio Vendor 29</t>
  </si>
  <si>
    <t>VRA-030</t>
  </si>
  <si>
    <t>VND-030</t>
  </si>
  <si>
    <t>Portfolio Vendor 30</t>
  </si>
  <si>
    <t>Action ID</t>
  </si>
  <si>
    <t>Priority</t>
  </si>
  <si>
    <t>Management Action</t>
  </si>
  <si>
    <t>Risk / Driver</t>
  </si>
  <si>
    <t>Owner</t>
  </si>
  <si>
    <t>Target Date</t>
  </si>
  <si>
    <t>Evidence / Decision Reference</t>
  </si>
  <si>
    <t>Management Comment</t>
  </si>
  <si>
    <t>MA-001</t>
  </si>
  <si>
    <t>Review all critical and high residual vendor risks.</t>
  </si>
  <si>
    <t>Residual third-party risk</t>
  </si>
  <si>
    <t>TPRM Manager</t>
  </si>
  <si>
    <t>2026-09-30</t>
  </si>
  <si>
    <t>Open</t>
  </si>
  <si>
    <t>Portfolio action</t>
  </si>
  <si>
    <t>MA-002</t>
  </si>
  <si>
    <t>Validate evidence for high-risk vendors and close gaps.</t>
  </si>
  <si>
    <t>Evidence quality</t>
  </si>
  <si>
    <t>GRC Analyst</t>
  </si>
  <si>
    <t>MA-003</t>
  </si>
  <si>
    <t>Review vendor reassessment calendar and overdue items.</t>
  </si>
  <si>
    <t>Periodic reassessment</t>
  </si>
  <si>
    <t>2026-10-15</t>
  </si>
  <si>
    <t>MA-004</t>
  </si>
  <si>
    <t>Confirm formal approval for any risk requiring acceptance.</t>
  </si>
  <si>
    <t>Residual risk acceptance</t>
  </si>
  <si>
    <t>Risk Owner / Management</t>
  </si>
  <si>
    <t>2026-09-15</t>
  </si>
  <si>
    <t>MA-005</t>
  </si>
  <si>
    <t>Review SLA, incident, BCDR and privacy monitoring metrics.</t>
  </si>
  <si>
    <t>Operational resilience and compliance</t>
  </si>
  <si>
    <t>2026-10-31</t>
  </si>
  <si>
    <t>Section</t>
  </si>
  <si>
    <t>Content</t>
  </si>
  <si>
    <t>1. Executive Summary</t>
  </si>
  <si>
    <t>Overall TPRM program position, major risks, management attention and key decisions.</t>
  </si>
  <si>
    <t>2. Vendor Risk Profile</t>
  </si>
  <si>
    <t>Vendor population, tiering, inherent/residual risk and concentration.</t>
  </si>
  <si>
    <t>3. Risk Treatment</t>
  </si>
  <si>
    <t>Open remediation, target dates, owners, validation and overdue actions.</t>
  </si>
  <si>
    <t>4. Risk Acceptance</t>
  </si>
  <si>
    <t>Residual risks requiring management acceptance, rationale, approver and expiry.</t>
  </si>
  <si>
    <t>5. Security &amp; Privacy</t>
  </si>
  <si>
    <t>Security assurance, incidents, privacy assessments and key findings.</t>
  </si>
  <si>
    <t>6. Operational Resilience</t>
  </si>
  <si>
    <t>BCDR assessments, tests, SLA performance and service dependencies.</t>
  </si>
  <si>
    <t>7. Continuous Monitoring</t>
  </si>
  <si>
    <t>Monitoring indicators, reassessment triggers and material changes.</t>
  </si>
  <si>
    <t>8. Management Actions</t>
  </si>
  <si>
    <t>Prioritized decisions and actions with owners and target dates.</t>
  </si>
  <si>
    <t>9. Conclusion</t>
  </si>
  <si>
    <t>Overall maturity observations and recommended next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</si>
</sst>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3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007AssessmentData" displayName="TPRM007AssessmentData" ref="A1:AD31">
  <autoFilter ref="A1:AD31" xr:uid="{00000000-0009-0000-0100-000001000000}"/>
  <tableColumns count="30">
    <tableColumn id="1" xr3:uid="{00000000-0010-0000-0000-000001000000}" name="Assessment ID" dataDxfId="38"/>
    <tableColumn id="2" xr3:uid="{00000000-0010-0000-0000-000002000000}" name="Vendor ID" dataDxfId="37"/>
    <tableColumn id="3" xr3:uid="{00000000-0010-0000-0000-000003000000}" name="Vendor Name" dataDxfId="36"/>
    <tableColumn id="4" xr3:uid="{00000000-0010-0000-0000-000004000000}" name="Vendor Tier" dataDxfId="35"/>
    <tableColumn id="5" xr3:uid="{00000000-0010-0000-0000-000005000000}" name="Business Owner" dataDxfId="34"/>
    <tableColumn id="6" xr3:uid="{00000000-0010-0000-0000-000006000000}" name="Vendor Owner" dataDxfId="33"/>
    <tableColumn id="7" xr3:uid="{00000000-0010-0000-0000-000007000000}" name="Service" dataDxfId="32"/>
    <tableColumn id="8" xr3:uid="{00000000-0010-0000-0000-000008000000}" name="Criticality" dataDxfId="31"/>
    <tableColumn id="9" xr3:uid="{00000000-0010-0000-0000-000009000000}" name="Data Sensitivity" dataDxfId="30"/>
    <tableColumn id="10" xr3:uid="{00000000-0010-0000-0000-00000A000000}" name="Data Types" dataDxfId="29"/>
    <tableColumn id="11" xr3:uid="{00000000-0010-0000-0000-00000B000000}" name="System Access" dataDxfId="28"/>
    <tableColumn id="12" xr3:uid="{00000000-0010-0000-0000-00000C000000}" name="Privileged Access" dataDxfId="27"/>
    <tableColumn id="13" xr3:uid="{00000000-0010-0000-0000-00000D000000}" name="Regulatory Impact" dataDxfId="26"/>
    <tableColumn id="14" xr3:uid="{00000000-0010-0000-0000-00000E000000}" name="Business Dependency" dataDxfId="25"/>
    <tableColumn id="15" xr3:uid="{00000000-0010-0000-0000-00000F000000}" name="Geographic Exposure" dataDxfId="24"/>
    <tableColumn id="16" xr3:uid="{00000000-0010-0000-0000-000010000000}" name="Subprocessor" dataDxfId="23"/>
    <tableColumn id="17" xr3:uid="{00000000-0010-0000-0000-000011000000}" name="Concentration" dataDxfId="22"/>
    <tableColumn id="18" xr3:uid="{00000000-0010-0000-0000-000012000000}" name="Threat" dataDxfId="21"/>
    <tableColumn id="19" xr3:uid="{00000000-0010-0000-0000-000013000000}" name="Vulnerability" dataDxfId="20"/>
    <tableColumn id="20" xr3:uid="{00000000-0010-0000-0000-000014000000}" name="Impact" dataDxfId="19"/>
    <tableColumn id="21" xr3:uid="{00000000-0010-0000-0000-000015000000}" name="Likelihood" dataDxfId="18"/>
    <tableColumn id="22" xr3:uid="{00000000-0010-0000-0000-000016000000}" name="Inherent Score" dataDxfId="17"/>
    <tableColumn id="23" xr3:uid="{00000000-0010-0000-0000-000017000000}" name="Inherent Rating" dataDxfId="16"/>
    <tableColumn id="24" xr3:uid="{00000000-0010-0000-0000-000018000000}" name="Control Effectiveness" dataDxfId="15"/>
    <tableColumn id="25" xr3:uid="{00000000-0010-0000-0000-000019000000}" name="Residual Score" dataDxfId="14"/>
    <tableColumn id="26" xr3:uid="{00000000-0010-0000-0000-00001A000000}" name="Residual Rating" dataDxfId="13"/>
    <tableColumn id="27" xr3:uid="{00000000-0010-0000-0000-00001B000000}" name="Treatment" dataDxfId="12"/>
    <tableColumn id="28" xr3:uid="{00000000-0010-0000-0000-00001C000000}" name="Target Rating" dataDxfId="11"/>
    <tableColumn id="29" xr3:uid="{00000000-0010-0000-0000-00001D000000}" name="Acceptance Required" dataDxfId="10"/>
    <tableColumn id="30" xr3:uid="{00000000-0010-0000-0000-00001E000000}" name="Statu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nagementActions" displayName="ManagementActions" ref="A1:I6">
  <autoFilter ref="A1:I6" xr:uid="{00000000-0009-0000-0100-000002000000}"/>
  <tableColumns count="9">
    <tableColumn id="1" xr3:uid="{00000000-0010-0000-0100-000001000000}" name="Action ID" dataDxfId="8"/>
    <tableColumn id="2" xr3:uid="{00000000-0010-0000-0100-000002000000}" name="Priority" dataDxfId="7"/>
    <tableColumn id="3" xr3:uid="{00000000-0010-0000-0100-000003000000}" name="Management Action" dataDxfId="6"/>
    <tableColumn id="4" xr3:uid="{00000000-0010-0000-0100-000004000000}" name="Risk / Driver" dataDxfId="5"/>
    <tableColumn id="5" xr3:uid="{00000000-0010-0000-0100-000005000000}" name="Owner" dataDxfId="4"/>
    <tableColumn id="6" xr3:uid="{00000000-0010-0000-0100-000006000000}" name="Target Date" dataDxfId="3"/>
    <tableColumn id="7" xr3:uid="{00000000-0010-0000-0100-000007000000}" name="Status" dataDxfId="2"/>
    <tableColumn id="8" xr3:uid="{00000000-0010-0000-0100-000008000000}" name="Evidence / Decision Reference" dataDxfId="1"/>
    <tableColumn id="9" xr3:uid="{00000000-0010-0000-0100-000009000000}" name="Management 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workbookViewId="0">
      <selection activeCell="B7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31.2" x14ac:dyDescent="0.3">
      <c r="A1" s="3" t="s">
        <v>0</v>
      </c>
      <c r="B1" s="3" t="s">
        <v>1</v>
      </c>
    </row>
    <row r="2" spans="1:2" x14ac:dyDescent="0.3">
      <c r="A2" s="4" t="s">
        <v>2</v>
      </c>
      <c r="B2" s="4" t="s">
        <v>3</v>
      </c>
    </row>
    <row r="3" spans="1:2" x14ac:dyDescent="0.3">
      <c r="A3" s="4" t="s">
        <v>4</v>
      </c>
      <c r="B3" s="4" t="s">
        <v>5</v>
      </c>
    </row>
    <row r="4" spans="1:2" x14ac:dyDescent="0.3">
      <c r="A4" s="4" t="s">
        <v>6</v>
      </c>
      <c r="B4" s="4" t="s">
        <v>7</v>
      </c>
    </row>
    <row r="5" spans="1:2" x14ac:dyDescent="0.3">
      <c r="A5" s="4" t="s">
        <v>8</v>
      </c>
      <c r="B5" s="4" t="s">
        <v>9</v>
      </c>
    </row>
    <row r="6" spans="1:2" ht="28.8" x14ac:dyDescent="0.3">
      <c r="A6" s="4" t="s">
        <v>10</v>
      </c>
      <c r="B6" s="4" t="s">
        <v>11</v>
      </c>
    </row>
    <row r="7" spans="1:2" x14ac:dyDescent="0.3">
      <c r="A7" s="4" t="s">
        <v>12</v>
      </c>
      <c r="B7" s="4" t="s">
        <v>13</v>
      </c>
    </row>
    <row r="8" spans="1:2" ht="28.8" x14ac:dyDescent="0.3">
      <c r="A8" s="4" t="s">
        <v>14</v>
      </c>
      <c r="B8" s="4" t="s">
        <v>15</v>
      </c>
    </row>
    <row r="9" spans="1:2" x14ac:dyDescent="0.3">
      <c r="A9" s="4" t="s">
        <v>16</v>
      </c>
      <c r="B9" s="4" t="s">
        <v>17</v>
      </c>
    </row>
    <row r="10" spans="1:2" ht="28.8" x14ac:dyDescent="0.3">
      <c r="A10" s="4" t="s">
        <v>18</v>
      </c>
      <c r="B10" s="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D10"/>
  <sheetViews>
    <sheetView workbookViewId="0">
      <selection activeCell="B9" sqref="A1:D10"/>
    </sheetView>
  </sheetViews>
  <sheetFormatPr defaultRowHeight="14.4" x14ac:dyDescent="0.3"/>
  <cols>
    <col min="1" max="1" width="30" customWidth="1"/>
    <col min="2" max="2" width="24" customWidth="1"/>
    <col min="3" max="3" width="70" customWidth="1"/>
    <col min="4" max="4" width="18" customWidth="1"/>
  </cols>
  <sheetData>
    <row r="1" spans="1:4" x14ac:dyDescent="0.3">
      <c r="A1" s="5" t="s">
        <v>20</v>
      </c>
      <c r="B1" s="5" t="s">
        <v>21</v>
      </c>
      <c r="C1" s="5" t="s">
        <v>22</v>
      </c>
      <c r="D1" s="5" t="s">
        <v>23</v>
      </c>
    </row>
    <row r="2" spans="1:4" x14ac:dyDescent="0.3">
      <c r="A2" s="4" t="s">
        <v>24</v>
      </c>
      <c r="B2" s="4">
        <v>30</v>
      </c>
      <c r="C2" s="4" t="s">
        <v>25</v>
      </c>
      <c r="D2" s="4" t="s">
        <v>26</v>
      </c>
    </row>
    <row r="3" spans="1:4" x14ac:dyDescent="0.3">
      <c r="A3" s="4" t="s">
        <v>27</v>
      </c>
      <c r="B3" s="4">
        <v>30</v>
      </c>
      <c r="C3" s="4" t="s">
        <v>28</v>
      </c>
      <c r="D3" s="4" t="s">
        <v>29</v>
      </c>
    </row>
    <row r="4" spans="1:4" x14ac:dyDescent="0.3">
      <c r="A4" s="4" t="s">
        <v>30</v>
      </c>
      <c r="B4" s="4">
        <f>COUNTIF('TPRM-007 Assessment Data'!H:H,"Critical")</f>
        <v>10</v>
      </c>
      <c r="C4" s="4" t="s">
        <v>31</v>
      </c>
      <c r="D4" s="4" t="s">
        <v>32</v>
      </c>
    </row>
    <row r="5" spans="1:4" x14ac:dyDescent="0.3">
      <c r="A5" s="4" t="s">
        <v>33</v>
      </c>
      <c r="B5" s="4">
        <f>COUNTIF('TPRM-007 Assessment Data'!Z:Z,"High")</f>
        <v>0</v>
      </c>
      <c r="C5" s="4" t="s">
        <v>34</v>
      </c>
      <c r="D5" s="4" t="s">
        <v>32</v>
      </c>
    </row>
    <row r="6" spans="1:4" x14ac:dyDescent="0.3">
      <c r="A6" s="4" t="s">
        <v>35</v>
      </c>
      <c r="B6" s="4">
        <f>COUNTIF('TPRM-007 Assessment Data'!Z:Z,"Critical")</f>
        <v>0</v>
      </c>
      <c r="C6" s="4" t="s">
        <v>36</v>
      </c>
      <c r="D6" s="4" t="s">
        <v>32</v>
      </c>
    </row>
    <row r="7" spans="1:4" x14ac:dyDescent="0.3">
      <c r="A7" s="4" t="s">
        <v>37</v>
      </c>
      <c r="B7" s="4">
        <f>COUNTIF('TPRM-007 Assessment Data'!AC:AC,"Yes")</f>
        <v>0</v>
      </c>
      <c r="C7" s="4" t="s">
        <v>38</v>
      </c>
      <c r="D7" s="4" t="s">
        <v>32</v>
      </c>
    </row>
    <row r="8" spans="1:4" x14ac:dyDescent="0.3">
      <c r="A8" s="4" t="s">
        <v>39</v>
      </c>
      <c r="B8" s="4">
        <f>COUNTIF('TPRM-007 Assessment Data'!AA:AA,"Mitigate")</f>
        <v>30</v>
      </c>
      <c r="C8" s="4" t="s">
        <v>40</v>
      </c>
      <c r="D8" s="4" t="s">
        <v>32</v>
      </c>
    </row>
    <row r="9" spans="1:4" x14ac:dyDescent="0.3">
      <c r="A9" s="4" t="s">
        <v>41</v>
      </c>
      <c r="B9" s="4">
        <v>30</v>
      </c>
      <c r="C9" s="4" t="s">
        <v>42</v>
      </c>
      <c r="D9" s="4" t="s">
        <v>43</v>
      </c>
    </row>
    <row r="10" spans="1:4" x14ac:dyDescent="0.3">
      <c r="A10" s="4" t="s">
        <v>44</v>
      </c>
      <c r="B10" s="4" t="s">
        <v>43</v>
      </c>
      <c r="C10" s="4" t="s">
        <v>45</v>
      </c>
      <c r="D10" s="4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D31"/>
  <sheetViews>
    <sheetView showGridLines="0" workbookViewId="0">
      <pane ySplit="1" topLeftCell="A2" activePane="bottomLeft" state="frozen"/>
      <selection pane="bottomLeft" activeCell="D15" sqref="A2:AD31"/>
    </sheetView>
  </sheetViews>
  <sheetFormatPr defaultRowHeight="14.4" x14ac:dyDescent="0.3"/>
  <cols>
    <col min="1" max="1" width="16" customWidth="1"/>
    <col min="2" max="2" width="14" customWidth="1"/>
    <col min="3" max="3" width="28" customWidth="1"/>
    <col min="4" max="4" width="14" customWidth="1"/>
    <col min="5" max="6" width="22" customWidth="1"/>
    <col min="7" max="7" width="28" customWidth="1"/>
    <col min="8" max="8" width="15" customWidth="1"/>
    <col min="9" max="9" width="18" customWidth="1"/>
    <col min="10" max="10" width="25" customWidth="1"/>
    <col min="11" max="11" width="24" customWidth="1"/>
    <col min="12" max="12" width="18" customWidth="1"/>
    <col min="13" max="13" width="24" customWidth="1"/>
    <col min="14" max="14" width="22" customWidth="1"/>
    <col min="15" max="15" width="20" customWidth="1"/>
    <col min="16" max="17" width="18" customWidth="1"/>
    <col min="18" max="18" width="15" customWidth="1"/>
    <col min="19" max="19" width="18" customWidth="1"/>
    <col min="20" max="20" width="12" customWidth="1"/>
    <col min="21" max="21" width="14" customWidth="1"/>
    <col min="22" max="22" width="16" customWidth="1"/>
    <col min="23" max="23" width="18" customWidth="1"/>
    <col min="24" max="24" width="20" customWidth="1"/>
    <col min="25" max="25" width="16" customWidth="1"/>
    <col min="26" max="28" width="18" customWidth="1"/>
    <col min="29" max="29" width="22" customWidth="1"/>
    <col min="30" max="30" width="16" customWidth="1"/>
  </cols>
  <sheetData>
    <row r="1" spans="1:30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  <c r="AC1" s="2" t="s">
        <v>74</v>
      </c>
      <c r="AD1" s="2" t="s">
        <v>23</v>
      </c>
    </row>
    <row r="2" spans="1:30" x14ac:dyDescent="0.3">
      <c r="A2" s="4" t="s">
        <v>75</v>
      </c>
      <c r="B2" s="4" t="s">
        <v>76</v>
      </c>
      <c r="C2" s="4" t="s">
        <v>77</v>
      </c>
      <c r="D2" s="4" t="s">
        <v>78</v>
      </c>
      <c r="E2" s="4" t="s">
        <v>50</v>
      </c>
      <c r="F2" s="4" t="s">
        <v>79</v>
      </c>
      <c r="G2" s="4" t="s">
        <v>80</v>
      </c>
      <c r="H2" s="4" t="s">
        <v>81</v>
      </c>
      <c r="I2" s="4" t="s">
        <v>81</v>
      </c>
      <c r="J2" s="4" t="s">
        <v>82</v>
      </c>
      <c r="K2" s="4" t="s">
        <v>83</v>
      </c>
      <c r="L2" s="4" t="s">
        <v>84</v>
      </c>
      <c r="M2" s="4" t="s">
        <v>85</v>
      </c>
      <c r="N2" s="4" t="s">
        <v>81</v>
      </c>
      <c r="O2" s="4" t="s">
        <v>86</v>
      </c>
      <c r="P2" s="4" t="s">
        <v>84</v>
      </c>
      <c r="Q2" s="4" t="s">
        <v>87</v>
      </c>
      <c r="R2" s="4" t="s">
        <v>81</v>
      </c>
      <c r="S2" s="4" t="s">
        <v>81</v>
      </c>
      <c r="T2" s="4">
        <v>3</v>
      </c>
      <c r="U2" s="4">
        <v>2</v>
      </c>
      <c r="V2" s="4">
        <v>6</v>
      </c>
      <c r="W2" s="4" t="s">
        <v>81</v>
      </c>
      <c r="X2" s="4">
        <v>80</v>
      </c>
      <c r="Y2" s="4">
        <v>1</v>
      </c>
      <c r="Z2" s="4" t="s">
        <v>87</v>
      </c>
      <c r="AA2" s="4" t="s">
        <v>88</v>
      </c>
      <c r="AB2" s="4" t="s">
        <v>81</v>
      </c>
      <c r="AC2" s="4" t="s">
        <v>84</v>
      </c>
      <c r="AD2" s="4" t="s">
        <v>89</v>
      </c>
    </row>
    <row r="3" spans="1:30" x14ac:dyDescent="0.3">
      <c r="A3" s="4" t="s">
        <v>90</v>
      </c>
      <c r="B3" s="4" t="s">
        <v>91</v>
      </c>
      <c r="C3" s="4" t="s">
        <v>92</v>
      </c>
      <c r="D3" s="4" t="s">
        <v>93</v>
      </c>
      <c r="E3" s="4" t="s">
        <v>50</v>
      </c>
      <c r="F3" s="4" t="s">
        <v>79</v>
      </c>
      <c r="G3" s="4" t="s">
        <v>80</v>
      </c>
      <c r="H3" s="4" t="s">
        <v>94</v>
      </c>
      <c r="I3" s="4" t="s">
        <v>81</v>
      </c>
      <c r="J3" s="4" t="s">
        <v>82</v>
      </c>
      <c r="K3" s="4" t="s">
        <v>83</v>
      </c>
      <c r="L3" s="4" t="s">
        <v>84</v>
      </c>
      <c r="M3" s="4" t="s">
        <v>85</v>
      </c>
      <c r="N3" s="4" t="s">
        <v>81</v>
      </c>
      <c r="O3" s="4" t="s">
        <v>86</v>
      </c>
      <c r="P3" s="4" t="s">
        <v>84</v>
      </c>
      <c r="Q3" s="4" t="s">
        <v>87</v>
      </c>
      <c r="R3" s="4" t="s">
        <v>81</v>
      </c>
      <c r="S3" s="4" t="s">
        <v>81</v>
      </c>
      <c r="T3" s="4">
        <v>4</v>
      </c>
      <c r="U3" s="4">
        <v>3</v>
      </c>
      <c r="V3" s="4">
        <v>12</v>
      </c>
      <c r="W3" s="4" t="s">
        <v>94</v>
      </c>
      <c r="X3" s="4">
        <v>80</v>
      </c>
      <c r="Y3" s="4">
        <v>2</v>
      </c>
      <c r="Z3" s="4" t="s">
        <v>87</v>
      </c>
      <c r="AA3" s="4" t="s">
        <v>88</v>
      </c>
      <c r="AB3" s="4" t="s">
        <v>81</v>
      </c>
      <c r="AC3" s="4" t="s">
        <v>84</v>
      </c>
      <c r="AD3" s="4" t="s">
        <v>89</v>
      </c>
    </row>
    <row r="4" spans="1:30" x14ac:dyDescent="0.3">
      <c r="A4" s="4" t="s">
        <v>95</v>
      </c>
      <c r="B4" s="4" t="s">
        <v>96</v>
      </c>
      <c r="C4" s="4" t="s">
        <v>97</v>
      </c>
      <c r="D4" s="4" t="s">
        <v>98</v>
      </c>
      <c r="E4" s="4" t="s">
        <v>50</v>
      </c>
      <c r="F4" s="4" t="s">
        <v>79</v>
      </c>
      <c r="G4" s="4" t="s">
        <v>80</v>
      </c>
      <c r="H4" s="4" t="s">
        <v>99</v>
      </c>
      <c r="I4" s="4" t="s">
        <v>94</v>
      </c>
      <c r="J4" s="4" t="s">
        <v>82</v>
      </c>
      <c r="K4" s="4" t="s">
        <v>83</v>
      </c>
      <c r="L4" s="4" t="s">
        <v>84</v>
      </c>
      <c r="M4" s="4" t="s">
        <v>85</v>
      </c>
      <c r="N4" s="4" t="s">
        <v>94</v>
      </c>
      <c r="O4" s="4" t="s">
        <v>86</v>
      </c>
      <c r="P4" s="4" t="s">
        <v>84</v>
      </c>
      <c r="Q4" s="4" t="s">
        <v>87</v>
      </c>
      <c r="R4" s="4" t="s">
        <v>81</v>
      </c>
      <c r="S4" s="4" t="s">
        <v>81</v>
      </c>
      <c r="T4" s="4">
        <v>5</v>
      </c>
      <c r="U4" s="4">
        <v>2</v>
      </c>
      <c r="V4" s="4">
        <v>10</v>
      </c>
      <c r="W4" s="4" t="s">
        <v>94</v>
      </c>
      <c r="X4" s="4">
        <v>80</v>
      </c>
      <c r="Y4" s="4">
        <v>2</v>
      </c>
      <c r="Z4" s="4" t="s">
        <v>87</v>
      </c>
      <c r="AA4" s="4" t="s">
        <v>88</v>
      </c>
      <c r="AB4" s="4" t="s">
        <v>81</v>
      </c>
      <c r="AC4" s="4" t="s">
        <v>84</v>
      </c>
      <c r="AD4" s="4" t="s">
        <v>89</v>
      </c>
    </row>
    <row r="5" spans="1:30" x14ac:dyDescent="0.3">
      <c r="A5" s="4" t="s">
        <v>100</v>
      </c>
      <c r="B5" s="4" t="s">
        <v>101</v>
      </c>
      <c r="C5" s="4" t="s">
        <v>102</v>
      </c>
      <c r="D5" s="4" t="s">
        <v>93</v>
      </c>
      <c r="E5" s="4" t="s">
        <v>50</v>
      </c>
      <c r="F5" s="4" t="s">
        <v>79</v>
      </c>
      <c r="G5" s="4" t="s">
        <v>80</v>
      </c>
      <c r="H5" s="4" t="s">
        <v>94</v>
      </c>
      <c r="I5" s="4" t="s">
        <v>81</v>
      </c>
      <c r="J5" s="4" t="s">
        <v>82</v>
      </c>
      <c r="K5" s="4" t="s">
        <v>83</v>
      </c>
      <c r="L5" s="4" t="s">
        <v>84</v>
      </c>
      <c r="M5" s="4" t="s">
        <v>85</v>
      </c>
      <c r="N5" s="4" t="s">
        <v>81</v>
      </c>
      <c r="O5" s="4" t="s">
        <v>86</v>
      </c>
      <c r="P5" s="4" t="s">
        <v>84</v>
      </c>
      <c r="Q5" s="4" t="s">
        <v>87</v>
      </c>
      <c r="R5" s="4" t="s">
        <v>81</v>
      </c>
      <c r="S5" s="4" t="s">
        <v>81</v>
      </c>
      <c r="T5" s="4">
        <v>4</v>
      </c>
      <c r="U5" s="4">
        <v>4</v>
      </c>
      <c r="V5" s="4">
        <v>16</v>
      </c>
      <c r="W5" s="4" t="s">
        <v>94</v>
      </c>
      <c r="X5" s="4">
        <v>80</v>
      </c>
      <c r="Y5" s="4">
        <v>3</v>
      </c>
      <c r="Z5" s="4" t="s">
        <v>87</v>
      </c>
      <c r="AA5" s="4" t="s">
        <v>88</v>
      </c>
      <c r="AB5" s="4" t="s">
        <v>81</v>
      </c>
      <c r="AC5" s="4" t="s">
        <v>84</v>
      </c>
      <c r="AD5" s="4" t="s">
        <v>89</v>
      </c>
    </row>
    <row r="6" spans="1:30" x14ac:dyDescent="0.3">
      <c r="A6" s="4" t="s">
        <v>103</v>
      </c>
      <c r="B6" s="4" t="s">
        <v>104</v>
      </c>
      <c r="C6" s="4" t="s">
        <v>105</v>
      </c>
      <c r="D6" s="4" t="s">
        <v>78</v>
      </c>
      <c r="E6" s="4" t="s">
        <v>50</v>
      </c>
      <c r="F6" s="4" t="s">
        <v>79</v>
      </c>
      <c r="G6" s="4" t="s">
        <v>80</v>
      </c>
      <c r="H6" s="4" t="s">
        <v>81</v>
      </c>
      <c r="I6" s="4" t="s">
        <v>81</v>
      </c>
      <c r="J6" s="4" t="s">
        <v>82</v>
      </c>
      <c r="K6" s="4" t="s">
        <v>83</v>
      </c>
      <c r="L6" s="4" t="s">
        <v>84</v>
      </c>
      <c r="M6" s="4" t="s">
        <v>85</v>
      </c>
      <c r="N6" s="4" t="s">
        <v>81</v>
      </c>
      <c r="O6" s="4" t="s">
        <v>86</v>
      </c>
      <c r="P6" s="4" t="s">
        <v>84</v>
      </c>
      <c r="Q6" s="4" t="s">
        <v>87</v>
      </c>
      <c r="R6" s="4" t="s">
        <v>81</v>
      </c>
      <c r="S6" s="4" t="s">
        <v>81</v>
      </c>
      <c r="T6" s="4">
        <v>3</v>
      </c>
      <c r="U6" s="4">
        <v>2</v>
      </c>
      <c r="V6" s="4">
        <v>6</v>
      </c>
      <c r="W6" s="4" t="s">
        <v>81</v>
      </c>
      <c r="X6" s="4">
        <v>60</v>
      </c>
      <c r="Y6" s="4">
        <v>2</v>
      </c>
      <c r="Z6" s="4" t="s">
        <v>87</v>
      </c>
      <c r="AA6" s="4" t="s">
        <v>88</v>
      </c>
      <c r="AB6" s="4" t="s">
        <v>81</v>
      </c>
      <c r="AC6" s="4" t="s">
        <v>84</v>
      </c>
      <c r="AD6" s="4" t="s">
        <v>89</v>
      </c>
    </row>
    <row r="7" spans="1:30" x14ac:dyDescent="0.3">
      <c r="A7" s="4" t="s">
        <v>106</v>
      </c>
      <c r="B7" s="4" t="s">
        <v>107</v>
      </c>
      <c r="C7" s="4" t="s">
        <v>108</v>
      </c>
      <c r="D7" s="4" t="s">
        <v>98</v>
      </c>
      <c r="E7" s="4" t="s">
        <v>50</v>
      </c>
      <c r="F7" s="4" t="s">
        <v>79</v>
      </c>
      <c r="G7" s="4" t="s">
        <v>80</v>
      </c>
      <c r="H7" s="4" t="s">
        <v>99</v>
      </c>
      <c r="I7" s="4" t="s">
        <v>94</v>
      </c>
      <c r="J7" s="4" t="s">
        <v>82</v>
      </c>
      <c r="K7" s="4" t="s">
        <v>83</v>
      </c>
      <c r="L7" s="4" t="s">
        <v>84</v>
      </c>
      <c r="M7" s="4" t="s">
        <v>85</v>
      </c>
      <c r="N7" s="4" t="s">
        <v>94</v>
      </c>
      <c r="O7" s="4" t="s">
        <v>86</v>
      </c>
      <c r="P7" s="4" t="s">
        <v>84</v>
      </c>
      <c r="Q7" s="4" t="s">
        <v>87</v>
      </c>
      <c r="R7" s="4" t="s">
        <v>81</v>
      </c>
      <c r="S7" s="4" t="s">
        <v>81</v>
      </c>
      <c r="T7" s="4">
        <v>5</v>
      </c>
      <c r="U7" s="4">
        <v>3</v>
      </c>
      <c r="V7" s="4">
        <v>15</v>
      </c>
      <c r="W7" s="4" t="s">
        <v>94</v>
      </c>
      <c r="X7" s="4">
        <v>80</v>
      </c>
      <c r="Y7" s="4">
        <v>3</v>
      </c>
      <c r="Z7" s="4" t="s">
        <v>87</v>
      </c>
      <c r="AA7" s="4" t="s">
        <v>88</v>
      </c>
      <c r="AB7" s="4" t="s">
        <v>81</v>
      </c>
      <c r="AC7" s="4" t="s">
        <v>84</v>
      </c>
      <c r="AD7" s="4" t="s">
        <v>89</v>
      </c>
    </row>
    <row r="8" spans="1:30" x14ac:dyDescent="0.3">
      <c r="A8" s="4" t="s">
        <v>109</v>
      </c>
      <c r="B8" s="4" t="s">
        <v>110</v>
      </c>
      <c r="C8" s="4" t="s">
        <v>111</v>
      </c>
      <c r="D8" s="4" t="s">
        <v>78</v>
      </c>
      <c r="E8" s="4" t="s">
        <v>50</v>
      </c>
      <c r="F8" s="4" t="s">
        <v>79</v>
      </c>
      <c r="G8" s="4" t="s">
        <v>80</v>
      </c>
      <c r="H8" s="4" t="s">
        <v>81</v>
      </c>
      <c r="I8" s="4" t="s">
        <v>81</v>
      </c>
      <c r="J8" s="4" t="s">
        <v>82</v>
      </c>
      <c r="K8" s="4" t="s">
        <v>83</v>
      </c>
      <c r="L8" s="4" t="s">
        <v>84</v>
      </c>
      <c r="M8" s="4" t="s">
        <v>85</v>
      </c>
      <c r="N8" s="4" t="s">
        <v>81</v>
      </c>
      <c r="O8" s="4" t="s">
        <v>86</v>
      </c>
      <c r="P8" s="4" t="s">
        <v>84</v>
      </c>
      <c r="Q8" s="4" t="s">
        <v>87</v>
      </c>
      <c r="R8" s="4" t="s">
        <v>81</v>
      </c>
      <c r="S8" s="4" t="s">
        <v>81</v>
      </c>
      <c r="T8" s="4">
        <v>3</v>
      </c>
      <c r="U8" s="4">
        <v>2</v>
      </c>
      <c r="V8" s="4">
        <v>6</v>
      </c>
      <c r="W8" s="4" t="s">
        <v>81</v>
      </c>
      <c r="X8" s="4">
        <v>80</v>
      </c>
      <c r="Y8" s="4">
        <v>1</v>
      </c>
      <c r="Z8" s="4" t="s">
        <v>87</v>
      </c>
      <c r="AA8" s="4" t="s">
        <v>88</v>
      </c>
      <c r="AB8" s="4" t="s">
        <v>81</v>
      </c>
      <c r="AC8" s="4" t="s">
        <v>84</v>
      </c>
      <c r="AD8" s="4" t="s">
        <v>89</v>
      </c>
    </row>
    <row r="9" spans="1:30" x14ac:dyDescent="0.3">
      <c r="A9" s="4" t="s">
        <v>112</v>
      </c>
      <c r="B9" s="4" t="s">
        <v>113</v>
      </c>
      <c r="C9" s="4" t="s">
        <v>114</v>
      </c>
      <c r="D9" s="4" t="s">
        <v>93</v>
      </c>
      <c r="E9" s="4" t="s">
        <v>50</v>
      </c>
      <c r="F9" s="4" t="s">
        <v>79</v>
      </c>
      <c r="G9" s="4" t="s">
        <v>80</v>
      </c>
      <c r="H9" s="4" t="s">
        <v>94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81</v>
      </c>
      <c r="O9" s="4" t="s">
        <v>86</v>
      </c>
      <c r="P9" s="4" t="s">
        <v>84</v>
      </c>
      <c r="Q9" s="4" t="s">
        <v>87</v>
      </c>
      <c r="R9" s="4" t="s">
        <v>81</v>
      </c>
      <c r="S9" s="4" t="s">
        <v>81</v>
      </c>
      <c r="T9" s="4">
        <v>4</v>
      </c>
      <c r="U9" s="4">
        <v>4</v>
      </c>
      <c r="V9" s="4">
        <v>16</v>
      </c>
      <c r="W9" s="4" t="s">
        <v>94</v>
      </c>
      <c r="X9" s="4">
        <v>80</v>
      </c>
      <c r="Y9" s="4">
        <v>3</v>
      </c>
      <c r="Z9" s="4" t="s">
        <v>87</v>
      </c>
      <c r="AA9" s="4" t="s">
        <v>88</v>
      </c>
      <c r="AB9" s="4" t="s">
        <v>81</v>
      </c>
      <c r="AC9" s="4" t="s">
        <v>84</v>
      </c>
      <c r="AD9" s="4" t="s">
        <v>89</v>
      </c>
    </row>
    <row r="10" spans="1:30" x14ac:dyDescent="0.3">
      <c r="A10" s="4" t="s">
        <v>115</v>
      </c>
      <c r="B10" s="4" t="s">
        <v>116</v>
      </c>
      <c r="C10" s="4" t="s">
        <v>117</v>
      </c>
      <c r="D10" s="4" t="s">
        <v>98</v>
      </c>
      <c r="E10" s="4" t="s">
        <v>50</v>
      </c>
      <c r="F10" s="4" t="s">
        <v>79</v>
      </c>
      <c r="G10" s="4" t="s">
        <v>80</v>
      </c>
      <c r="H10" s="4" t="s">
        <v>99</v>
      </c>
      <c r="I10" s="4" t="s">
        <v>94</v>
      </c>
      <c r="J10" s="4" t="s">
        <v>82</v>
      </c>
      <c r="K10" s="4" t="s">
        <v>83</v>
      </c>
      <c r="L10" s="4" t="s">
        <v>84</v>
      </c>
      <c r="M10" s="4" t="s">
        <v>85</v>
      </c>
      <c r="N10" s="4" t="s">
        <v>94</v>
      </c>
      <c r="O10" s="4" t="s">
        <v>86</v>
      </c>
      <c r="P10" s="4" t="s">
        <v>84</v>
      </c>
      <c r="Q10" s="4" t="s">
        <v>87</v>
      </c>
      <c r="R10" s="4" t="s">
        <v>81</v>
      </c>
      <c r="S10" s="4" t="s">
        <v>81</v>
      </c>
      <c r="T10" s="4">
        <v>5</v>
      </c>
      <c r="U10" s="4">
        <v>2</v>
      </c>
      <c r="V10" s="4">
        <v>10</v>
      </c>
      <c r="W10" s="4" t="s">
        <v>94</v>
      </c>
      <c r="X10" s="4">
        <v>80</v>
      </c>
      <c r="Y10" s="4">
        <v>2</v>
      </c>
      <c r="Z10" s="4" t="s">
        <v>87</v>
      </c>
      <c r="AA10" s="4" t="s">
        <v>88</v>
      </c>
      <c r="AB10" s="4" t="s">
        <v>81</v>
      </c>
      <c r="AC10" s="4" t="s">
        <v>84</v>
      </c>
      <c r="AD10" s="4" t="s">
        <v>89</v>
      </c>
    </row>
    <row r="11" spans="1:30" x14ac:dyDescent="0.3">
      <c r="A11" s="4" t="s">
        <v>118</v>
      </c>
      <c r="B11" s="4" t="s">
        <v>119</v>
      </c>
      <c r="C11" s="4" t="s">
        <v>120</v>
      </c>
      <c r="D11" s="4" t="s">
        <v>93</v>
      </c>
      <c r="E11" s="4" t="s">
        <v>50</v>
      </c>
      <c r="F11" s="4" t="s">
        <v>79</v>
      </c>
      <c r="G11" s="4" t="s">
        <v>80</v>
      </c>
      <c r="H11" s="4" t="s">
        <v>94</v>
      </c>
      <c r="I11" s="4" t="s">
        <v>81</v>
      </c>
      <c r="J11" s="4" t="s">
        <v>82</v>
      </c>
      <c r="K11" s="4" t="s">
        <v>83</v>
      </c>
      <c r="L11" s="4" t="s">
        <v>84</v>
      </c>
      <c r="M11" s="4" t="s">
        <v>85</v>
      </c>
      <c r="N11" s="4" t="s">
        <v>81</v>
      </c>
      <c r="O11" s="4" t="s">
        <v>86</v>
      </c>
      <c r="P11" s="4" t="s">
        <v>84</v>
      </c>
      <c r="Q11" s="4" t="s">
        <v>87</v>
      </c>
      <c r="R11" s="4" t="s">
        <v>81</v>
      </c>
      <c r="S11" s="4" t="s">
        <v>81</v>
      </c>
      <c r="T11" s="4">
        <v>4</v>
      </c>
      <c r="U11" s="4">
        <v>3</v>
      </c>
      <c r="V11" s="4">
        <v>12</v>
      </c>
      <c r="W11" s="4" t="s">
        <v>94</v>
      </c>
      <c r="X11" s="4">
        <v>60</v>
      </c>
      <c r="Y11" s="4">
        <v>5</v>
      </c>
      <c r="Z11" s="4" t="s">
        <v>81</v>
      </c>
      <c r="AA11" s="4" t="s">
        <v>88</v>
      </c>
      <c r="AB11" s="4" t="s">
        <v>81</v>
      </c>
      <c r="AC11" s="4" t="s">
        <v>84</v>
      </c>
      <c r="AD11" s="4" t="s">
        <v>89</v>
      </c>
    </row>
    <row r="12" spans="1:30" x14ac:dyDescent="0.3">
      <c r="A12" s="4" t="s">
        <v>121</v>
      </c>
      <c r="B12" s="4" t="s">
        <v>122</v>
      </c>
      <c r="C12" s="4" t="s">
        <v>123</v>
      </c>
      <c r="D12" s="4" t="s">
        <v>78</v>
      </c>
      <c r="E12" s="4" t="s">
        <v>50</v>
      </c>
      <c r="F12" s="4" t="s">
        <v>79</v>
      </c>
      <c r="G12" s="4" t="s">
        <v>80</v>
      </c>
      <c r="H12" s="4" t="s">
        <v>81</v>
      </c>
      <c r="I12" s="4" t="s">
        <v>81</v>
      </c>
      <c r="J12" s="4" t="s">
        <v>82</v>
      </c>
      <c r="K12" s="4" t="s">
        <v>83</v>
      </c>
      <c r="L12" s="4" t="s">
        <v>84</v>
      </c>
      <c r="M12" s="4" t="s">
        <v>85</v>
      </c>
      <c r="N12" s="4" t="s">
        <v>81</v>
      </c>
      <c r="O12" s="4" t="s">
        <v>86</v>
      </c>
      <c r="P12" s="4" t="s">
        <v>84</v>
      </c>
      <c r="Q12" s="4" t="s">
        <v>87</v>
      </c>
      <c r="R12" s="4" t="s">
        <v>81</v>
      </c>
      <c r="S12" s="4" t="s">
        <v>81</v>
      </c>
      <c r="T12" s="4">
        <v>3</v>
      </c>
      <c r="U12" s="4">
        <v>2</v>
      </c>
      <c r="V12" s="4">
        <v>6</v>
      </c>
      <c r="W12" s="4" t="s">
        <v>81</v>
      </c>
      <c r="X12" s="4">
        <v>80</v>
      </c>
      <c r="Y12" s="4">
        <v>1</v>
      </c>
      <c r="Z12" s="4" t="s">
        <v>87</v>
      </c>
      <c r="AA12" s="4" t="s">
        <v>88</v>
      </c>
      <c r="AB12" s="4" t="s">
        <v>81</v>
      </c>
      <c r="AC12" s="4" t="s">
        <v>84</v>
      </c>
      <c r="AD12" s="4" t="s">
        <v>89</v>
      </c>
    </row>
    <row r="13" spans="1:30" x14ac:dyDescent="0.3">
      <c r="A13" s="4" t="s">
        <v>124</v>
      </c>
      <c r="B13" s="4" t="s">
        <v>125</v>
      </c>
      <c r="C13" s="4" t="s">
        <v>126</v>
      </c>
      <c r="D13" s="4" t="s">
        <v>98</v>
      </c>
      <c r="E13" s="4" t="s">
        <v>50</v>
      </c>
      <c r="F13" s="4" t="s">
        <v>79</v>
      </c>
      <c r="G13" s="4" t="s">
        <v>80</v>
      </c>
      <c r="H13" s="4" t="s">
        <v>99</v>
      </c>
      <c r="I13" s="4" t="s">
        <v>94</v>
      </c>
      <c r="J13" s="4" t="s">
        <v>82</v>
      </c>
      <c r="K13" s="4" t="s">
        <v>83</v>
      </c>
      <c r="L13" s="4" t="s">
        <v>84</v>
      </c>
      <c r="M13" s="4" t="s">
        <v>85</v>
      </c>
      <c r="N13" s="4" t="s">
        <v>94</v>
      </c>
      <c r="O13" s="4" t="s">
        <v>86</v>
      </c>
      <c r="P13" s="4" t="s">
        <v>84</v>
      </c>
      <c r="Q13" s="4" t="s">
        <v>87</v>
      </c>
      <c r="R13" s="4" t="s">
        <v>81</v>
      </c>
      <c r="S13" s="4" t="s">
        <v>81</v>
      </c>
      <c r="T13" s="4">
        <v>5</v>
      </c>
      <c r="U13" s="4">
        <v>4</v>
      </c>
      <c r="V13" s="4">
        <v>20</v>
      </c>
      <c r="W13" s="4" t="s">
        <v>99</v>
      </c>
      <c r="X13" s="4">
        <v>80</v>
      </c>
      <c r="Y13" s="4">
        <v>4</v>
      </c>
      <c r="Z13" s="4" t="s">
        <v>87</v>
      </c>
      <c r="AA13" s="4" t="s">
        <v>88</v>
      </c>
      <c r="AB13" s="4" t="s">
        <v>81</v>
      </c>
      <c r="AC13" s="4" t="s">
        <v>84</v>
      </c>
      <c r="AD13" s="4" t="s">
        <v>89</v>
      </c>
    </row>
    <row r="14" spans="1:30" x14ac:dyDescent="0.3">
      <c r="A14" s="4" t="s">
        <v>127</v>
      </c>
      <c r="B14" s="4" t="s">
        <v>128</v>
      </c>
      <c r="C14" s="4" t="s">
        <v>129</v>
      </c>
      <c r="D14" s="4" t="s">
        <v>78</v>
      </c>
      <c r="E14" s="4" t="s">
        <v>50</v>
      </c>
      <c r="F14" s="4" t="s">
        <v>79</v>
      </c>
      <c r="G14" s="4" t="s">
        <v>80</v>
      </c>
      <c r="H14" s="4" t="s">
        <v>81</v>
      </c>
      <c r="I14" s="4" t="s">
        <v>81</v>
      </c>
      <c r="J14" s="4" t="s">
        <v>82</v>
      </c>
      <c r="K14" s="4" t="s">
        <v>83</v>
      </c>
      <c r="L14" s="4" t="s">
        <v>84</v>
      </c>
      <c r="M14" s="4" t="s">
        <v>85</v>
      </c>
      <c r="N14" s="4" t="s">
        <v>81</v>
      </c>
      <c r="O14" s="4" t="s">
        <v>86</v>
      </c>
      <c r="P14" s="4" t="s">
        <v>84</v>
      </c>
      <c r="Q14" s="4" t="s">
        <v>87</v>
      </c>
      <c r="R14" s="4" t="s">
        <v>81</v>
      </c>
      <c r="S14" s="4" t="s">
        <v>81</v>
      </c>
      <c r="T14" s="4">
        <v>3</v>
      </c>
      <c r="U14" s="4">
        <v>2</v>
      </c>
      <c r="V14" s="4">
        <v>6</v>
      </c>
      <c r="W14" s="4" t="s">
        <v>81</v>
      </c>
      <c r="X14" s="4">
        <v>80</v>
      </c>
      <c r="Y14" s="4">
        <v>1</v>
      </c>
      <c r="Z14" s="4" t="s">
        <v>87</v>
      </c>
      <c r="AA14" s="4" t="s">
        <v>88</v>
      </c>
      <c r="AB14" s="4" t="s">
        <v>81</v>
      </c>
      <c r="AC14" s="4" t="s">
        <v>84</v>
      </c>
      <c r="AD14" s="4" t="s">
        <v>89</v>
      </c>
    </row>
    <row r="15" spans="1:30" x14ac:dyDescent="0.3">
      <c r="A15" s="4" t="s">
        <v>130</v>
      </c>
      <c r="B15" s="4" t="s">
        <v>131</v>
      </c>
      <c r="C15" s="4" t="s">
        <v>132</v>
      </c>
      <c r="D15" s="4" t="s">
        <v>93</v>
      </c>
      <c r="E15" s="4" t="s">
        <v>50</v>
      </c>
      <c r="F15" s="4" t="s">
        <v>79</v>
      </c>
      <c r="G15" s="4" t="s">
        <v>80</v>
      </c>
      <c r="H15" s="4" t="s">
        <v>94</v>
      </c>
      <c r="I15" s="4" t="s">
        <v>81</v>
      </c>
      <c r="J15" s="4" t="s">
        <v>82</v>
      </c>
      <c r="K15" s="4" t="s">
        <v>83</v>
      </c>
      <c r="L15" s="4" t="s">
        <v>84</v>
      </c>
      <c r="M15" s="4" t="s">
        <v>85</v>
      </c>
      <c r="N15" s="4" t="s">
        <v>81</v>
      </c>
      <c r="O15" s="4" t="s">
        <v>86</v>
      </c>
      <c r="P15" s="4" t="s">
        <v>84</v>
      </c>
      <c r="Q15" s="4" t="s">
        <v>87</v>
      </c>
      <c r="R15" s="4" t="s">
        <v>81</v>
      </c>
      <c r="S15" s="4" t="s">
        <v>81</v>
      </c>
      <c r="T15" s="4">
        <v>4</v>
      </c>
      <c r="U15" s="4">
        <v>3</v>
      </c>
      <c r="V15" s="4">
        <v>12</v>
      </c>
      <c r="W15" s="4" t="s">
        <v>94</v>
      </c>
      <c r="X15" s="4">
        <v>80</v>
      </c>
      <c r="Y15" s="4">
        <v>2</v>
      </c>
      <c r="Z15" s="4" t="s">
        <v>87</v>
      </c>
      <c r="AA15" s="4" t="s">
        <v>88</v>
      </c>
      <c r="AB15" s="4" t="s">
        <v>81</v>
      </c>
      <c r="AC15" s="4" t="s">
        <v>84</v>
      </c>
      <c r="AD15" s="4" t="s">
        <v>89</v>
      </c>
    </row>
    <row r="16" spans="1:30" x14ac:dyDescent="0.3">
      <c r="A16" s="4" t="s">
        <v>133</v>
      </c>
      <c r="B16" s="4" t="s">
        <v>134</v>
      </c>
      <c r="C16" s="4" t="s">
        <v>135</v>
      </c>
      <c r="D16" s="4" t="s">
        <v>98</v>
      </c>
      <c r="E16" s="4" t="s">
        <v>50</v>
      </c>
      <c r="F16" s="4" t="s">
        <v>79</v>
      </c>
      <c r="G16" s="4" t="s">
        <v>80</v>
      </c>
      <c r="H16" s="4" t="s">
        <v>99</v>
      </c>
      <c r="I16" s="4" t="s">
        <v>94</v>
      </c>
      <c r="J16" s="4" t="s">
        <v>82</v>
      </c>
      <c r="K16" s="4" t="s">
        <v>83</v>
      </c>
      <c r="L16" s="4" t="s">
        <v>84</v>
      </c>
      <c r="M16" s="4" t="s">
        <v>85</v>
      </c>
      <c r="N16" s="4" t="s">
        <v>94</v>
      </c>
      <c r="O16" s="4" t="s">
        <v>86</v>
      </c>
      <c r="P16" s="4" t="s">
        <v>84</v>
      </c>
      <c r="Q16" s="4" t="s">
        <v>87</v>
      </c>
      <c r="R16" s="4" t="s">
        <v>81</v>
      </c>
      <c r="S16" s="4" t="s">
        <v>81</v>
      </c>
      <c r="T16" s="4">
        <v>5</v>
      </c>
      <c r="U16" s="4">
        <v>2</v>
      </c>
      <c r="V16" s="4">
        <v>10</v>
      </c>
      <c r="W16" s="4" t="s">
        <v>94</v>
      </c>
      <c r="X16" s="4">
        <v>60</v>
      </c>
      <c r="Y16" s="4">
        <v>4</v>
      </c>
      <c r="Z16" s="4" t="s">
        <v>87</v>
      </c>
      <c r="AA16" s="4" t="s">
        <v>88</v>
      </c>
      <c r="AB16" s="4" t="s">
        <v>81</v>
      </c>
      <c r="AC16" s="4" t="s">
        <v>84</v>
      </c>
      <c r="AD16" s="4" t="s">
        <v>89</v>
      </c>
    </row>
    <row r="17" spans="1:30" x14ac:dyDescent="0.3">
      <c r="A17" s="4" t="s">
        <v>136</v>
      </c>
      <c r="B17" s="4" t="s">
        <v>137</v>
      </c>
      <c r="C17" s="4" t="s">
        <v>138</v>
      </c>
      <c r="D17" s="4" t="s">
        <v>93</v>
      </c>
      <c r="E17" s="4" t="s">
        <v>50</v>
      </c>
      <c r="F17" s="4" t="s">
        <v>79</v>
      </c>
      <c r="G17" s="4" t="s">
        <v>80</v>
      </c>
      <c r="H17" s="4" t="s">
        <v>94</v>
      </c>
      <c r="I17" s="4" t="s">
        <v>81</v>
      </c>
      <c r="J17" s="4" t="s">
        <v>82</v>
      </c>
      <c r="K17" s="4" t="s">
        <v>83</v>
      </c>
      <c r="L17" s="4" t="s">
        <v>84</v>
      </c>
      <c r="M17" s="4" t="s">
        <v>85</v>
      </c>
      <c r="N17" s="4" t="s">
        <v>81</v>
      </c>
      <c r="O17" s="4" t="s">
        <v>86</v>
      </c>
      <c r="P17" s="4" t="s">
        <v>84</v>
      </c>
      <c r="Q17" s="4" t="s">
        <v>87</v>
      </c>
      <c r="R17" s="4" t="s">
        <v>81</v>
      </c>
      <c r="S17" s="4" t="s">
        <v>81</v>
      </c>
      <c r="T17" s="4">
        <v>4</v>
      </c>
      <c r="U17" s="4">
        <v>4</v>
      </c>
      <c r="V17" s="4">
        <v>16</v>
      </c>
      <c r="W17" s="4" t="s">
        <v>94</v>
      </c>
      <c r="X17" s="4">
        <v>80</v>
      </c>
      <c r="Y17" s="4">
        <v>3</v>
      </c>
      <c r="Z17" s="4" t="s">
        <v>87</v>
      </c>
      <c r="AA17" s="4" t="s">
        <v>88</v>
      </c>
      <c r="AB17" s="4" t="s">
        <v>81</v>
      </c>
      <c r="AC17" s="4" t="s">
        <v>84</v>
      </c>
      <c r="AD17" s="4" t="s">
        <v>89</v>
      </c>
    </row>
    <row r="18" spans="1:30" x14ac:dyDescent="0.3">
      <c r="A18" s="4" t="s">
        <v>139</v>
      </c>
      <c r="B18" s="4" t="s">
        <v>140</v>
      </c>
      <c r="C18" s="4" t="s">
        <v>141</v>
      </c>
      <c r="D18" s="4" t="s">
        <v>78</v>
      </c>
      <c r="E18" s="4" t="s">
        <v>50</v>
      </c>
      <c r="F18" s="4" t="s">
        <v>79</v>
      </c>
      <c r="G18" s="4" t="s">
        <v>80</v>
      </c>
      <c r="H18" s="4" t="s">
        <v>81</v>
      </c>
      <c r="I18" s="4" t="s">
        <v>81</v>
      </c>
      <c r="J18" s="4" t="s">
        <v>82</v>
      </c>
      <c r="K18" s="4" t="s">
        <v>83</v>
      </c>
      <c r="L18" s="4" t="s">
        <v>84</v>
      </c>
      <c r="M18" s="4" t="s">
        <v>85</v>
      </c>
      <c r="N18" s="4" t="s">
        <v>81</v>
      </c>
      <c r="O18" s="4" t="s">
        <v>86</v>
      </c>
      <c r="P18" s="4" t="s">
        <v>84</v>
      </c>
      <c r="Q18" s="4" t="s">
        <v>87</v>
      </c>
      <c r="R18" s="4" t="s">
        <v>81</v>
      </c>
      <c r="S18" s="4" t="s">
        <v>81</v>
      </c>
      <c r="T18" s="4">
        <v>3</v>
      </c>
      <c r="U18" s="4">
        <v>2</v>
      </c>
      <c r="V18" s="4">
        <v>6</v>
      </c>
      <c r="W18" s="4" t="s">
        <v>81</v>
      </c>
      <c r="X18" s="4">
        <v>80</v>
      </c>
      <c r="Y18" s="4">
        <v>1</v>
      </c>
      <c r="Z18" s="4" t="s">
        <v>87</v>
      </c>
      <c r="AA18" s="4" t="s">
        <v>88</v>
      </c>
      <c r="AB18" s="4" t="s">
        <v>81</v>
      </c>
      <c r="AC18" s="4" t="s">
        <v>84</v>
      </c>
      <c r="AD18" s="4" t="s">
        <v>89</v>
      </c>
    </row>
    <row r="19" spans="1:30" x14ac:dyDescent="0.3">
      <c r="A19" s="4" t="s">
        <v>142</v>
      </c>
      <c r="B19" s="4" t="s">
        <v>143</v>
      </c>
      <c r="C19" s="4" t="s">
        <v>144</v>
      </c>
      <c r="D19" s="4" t="s">
        <v>98</v>
      </c>
      <c r="E19" s="4" t="s">
        <v>50</v>
      </c>
      <c r="F19" s="4" t="s">
        <v>79</v>
      </c>
      <c r="G19" s="4" t="s">
        <v>80</v>
      </c>
      <c r="H19" s="4" t="s">
        <v>99</v>
      </c>
      <c r="I19" s="4" t="s">
        <v>94</v>
      </c>
      <c r="J19" s="4" t="s">
        <v>82</v>
      </c>
      <c r="K19" s="4" t="s">
        <v>83</v>
      </c>
      <c r="L19" s="4" t="s">
        <v>84</v>
      </c>
      <c r="M19" s="4" t="s">
        <v>85</v>
      </c>
      <c r="N19" s="4" t="s">
        <v>94</v>
      </c>
      <c r="O19" s="4" t="s">
        <v>86</v>
      </c>
      <c r="P19" s="4" t="s">
        <v>84</v>
      </c>
      <c r="Q19" s="4" t="s">
        <v>87</v>
      </c>
      <c r="R19" s="4" t="s">
        <v>81</v>
      </c>
      <c r="S19" s="4" t="s">
        <v>81</v>
      </c>
      <c r="T19" s="4">
        <v>5</v>
      </c>
      <c r="U19" s="4">
        <v>3</v>
      </c>
      <c r="V19" s="4">
        <v>15</v>
      </c>
      <c r="W19" s="4" t="s">
        <v>94</v>
      </c>
      <c r="X19" s="4">
        <v>80</v>
      </c>
      <c r="Y19" s="4">
        <v>3</v>
      </c>
      <c r="Z19" s="4" t="s">
        <v>87</v>
      </c>
      <c r="AA19" s="4" t="s">
        <v>88</v>
      </c>
      <c r="AB19" s="4" t="s">
        <v>81</v>
      </c>
      <c r="AC19" s="4" t="s">
        <v>84</v>
      </c>
      <c r="AD19" s="4" t="s">
        <v>89</v>
      </c>
    </row>
    <row r="20" spans="1:30" x14ac:dyDescent="0.3">
      <c r="A20" s="4" t="s">
        <v>145</v>
      </c>
      <c r="B20" s="4" t="s">
        <v>146</v>
      </c>
      <c r="C20" s="4" t="s">
        <v>147</v>
      </c>
      <c r="D20" s="4" t="s">
        <v>78</v>
      </c>
      <c r="E20" s="4" t="s">
        <v>50</v>
      </c>
      <c r="F20" s="4" t="s">
        <v>79</v>
      </c>
      <c r="G20" s="4" t="s">
        <v>80</v>
      </c>
      <c r="H20" s="4" t="s">
        <v>81</v>
      </c>
      <c r="I20" s="4" t="s">
        <v>81</v>
      </c>
      <c r="J20" s="4" t="s">
        <v>82</v>
      </c>
      <c r="K20" s="4" t="s">
        <v>83</v>
      </c>
      <c r="L20" s="4" t="s">
        <v>84</v>
      </c>
      <c r="M20" s="4" t="s">
        <v>85</v>
      </c>
      <c r="N20" s="4" t="s">
        <v>81</v>
      </c>
      <c r="O20" s="4" t="s">
        <v>86</v>
      </c>
      <c r="P20" s="4" t="s">
        <v>84</v>
      </c>
      <c r="Q20" s="4" t="s">
        <v>87</v>
      </c>
      <c r="R20" s="4" t="s">
        <v>81</v>
      </c>
      <c r="S20" s="4" t="s">
        <v>81</v>
      </c>
      <c r="T20" s="4">
        <v>3</v>
      </c>
      <c r="U20" s="4">
        <v>2</v>
      </c>
      <c r="V20" s="4">
        <v>6</v>
      </c>
      <c r="W20" s="4" t="s">
        <v>81</v>
      </c>
      <c r="X20" s="4">
        <v>80</v>
      </c>
      <c r="Y20" s="4">
        <v>1</v>
      </c>
      <c r="Z20" s="4" t="s">
        <v>87</v>
      </c>
      <c r="AA20" s="4" t="s">
        <v>88</v>
      </c>
      <c r="AB20" s="4" t="s">
        <v>81</v>
      </c>
      <c r="AC20" s="4" t="s">
        <v>84</v>
      </c>
      <c r="AD20" s="4" t="s">
        <v>89</v>
      </c>
    </row>
    <row r="21" spans="1:30" x14ac:dyDescent="0.3">
      <c r="A21" s="4" t="s">
        <v>148</v>
      </c>
      <c r="B21" s="4" t="s">
        <v>149</v>
      </c>
      <c r="C21" s="4" t="s">
        <v>150</v>
      </c>
      <c r="D21" s="4" t="s">
        <v>93</v>
      </c>
      <c r="E21" s="4" t="s">
        <v>50</v>
      </c>
      <c r="F21" s="4" t="s">
        <v>79</v>
      </c>
      <c r="G21" s="4" t="s">
        <v>80</v>
      </c>
      <c r="H21" s="4" t="s">
        <v>94</v>
      </c>
      <c r="I21" s="4" t="s">
        <v>81</v>
      </c>
      <c r="J21" s="4" t="s">
        <v>82</v>
      </c>
      <c r="K21" s="4" t="s">
        <v>83</v>
      </c>
      <c r="L21" s="4" t="s">
        <v>84</v>
      </c>
      <c r="M21" s="4" t="s">
        <v>85</v>
      </c>
      <c r="N21" s="4" t="s">
        <v>81</v>
      </c>
      <c r="O21" s="4" t="s">
        <v>86</v>
      </c>
      <c r="P21" s="4" t="s">
        <v>84</v>
      </c>
      <c r="Q21" s="4" t="s">
        <v>87</v>
      </c>
      <c r="R21" s="4" t="s">
        <v>81</v>
      </c>
      <c r="S21" s="4" t="s">
        <v>81</v>
      </c>
      <c r="T21" s="4">
        <v>4</v>
      </c>
      <c r="U21" s="4">
        <v>4</v>
      </c>
      <c r="V21" s="4">
        <v>16</v>
      </c>
      <c r="W21" s="4" t="s">
        <v>94</v>
      </c>
      <c r="X21" s="4">
        <v>60</v>
      </c>
      <c r="Y21" s="4">
        <v>6</v>
      </c>
      <c r="Z21" s="4" t="s">
        <v>81</v>
      </c>
      <c r="AA21" s="4" t="s">
        <v>88</v>
      </c>
      <c r="AB21" s="4" t="s">
        <v>81</v>
      </c>
      <c r="AC21" s="4" t="s">
        <v>84</v>
      </c>
      <c r="AD21" s="4" t="s">
        <v>89</v>
      </c>
    </row>
    <row r="22" spans="1:30" x14ac:dyDescent="0.3">
      <c r="A22" s="4" t="s">
        <v>151</v>
      </c>
      <c r="B22" s="4" t="s">
        <v>152</v>
      </c>
      <c r="C22" s="4" t="s">
        <v>153</v>
      </c>
      <c r="D22" s="4" t="s">
        <v>98</v>
      </c>
      <c r="E22" s="4" t="s">
        <v>50</v>
      </c>
      <c r="F22" s="4" t="s">
        <v>79</v>
      </c>
      <c r="G22" s="4" t="s">
        <v>80</v>
      </c>
      <c r="H22" s="4" t="s">
        <v>99</v>
      </c>
      <c r="I22" s="4" t="s">
        <v>94</v>
      </c>
      <c r="J22" s="4" t="s">
        <v>82</v>
      </c>
      <c r="K22" s="4" t="s">
        <v>83</v>
      </c>
      <c r="L22" s="4" t="s">
        <v>84</v>
      </c>
      <c r="M22" s="4" t="s">
        <v>85</v>
      </c>
      <c r="N22" s="4" t="s">
        <v>94</v>
      </c>
      <c r="O22" s="4" t="s">
        <v>86</v>
      </c>
      <c r="P22" s="4" t="s">
        <v>84</v>
      </c>
      <c r="Q22" s="4" t="s">
        <v>87</v>
      </c>
      <c r="R22" s="4" t="s">
        <v>81</v>
      </c>
      <c r="S22" s="4" t="s">
        <v>81</v>
      </c>
      <c r="T22" s="4">
        <v>5</v>
      </c>
      <c r="U22" s="4">
        <v>2</v>
      </c>
      <c r="V22" s="4">
        <v>10</v>
      </c>
      <c r="W22" s="4" t="s">
        <v>94</v>
      </c>
      <c r="X22" s="4">
        <v>80</v>
      </c>
      <c r="Y22" s="4">
        <v>2</v>
      </c>
      <c r="Z22" s="4" t="s">
        <v>87</v>
      </c>
      <c r="AA22" s="4" t="s">
        <v>88</v>
      </c>
      <c r="AB22" s="4" t="s">
        <v>81</v>
      </c>
      <c r="AC22" s="4" t="s">
        <v>84</v>
      </c>
      <c r="AD22" s="4" t="s">
        <v>89</v>
      </c>
    </row>
    <row r="23" spans="1:30" x14ac:dyDescent="0.3">
      <c r="A23" s="4" t="s">
        <v>154</v>
      </c>
      <c r="B23" s="4" t="s">
        <v>155</v>
      </c>
      <c r="C23" s="4" t="s">
        <v>156</v>
      </c>
      <c r="D23" s="4" t="s">
        <v>93</v>
      </c>
      <c r="E23" s="4" t="s">
        <v>50</v>
      </c>
      <c r="F23" s="4" t="s">
        <v>79</v>
      </c>
      <c r="G23" s="4" t="s">
        <v>80</v>
      </c>
      <c r="H23" s="4" t="s">
        <v>94</v>
      </c>
      <c r="I23" s="4" t="s">
        <v>81</v>
      </c>
      <c r="J23" s="4" t="s">
        <v>82</v>
      </c>
      <c r="K23" s="4" t="s">
        <v>83</v>
      </c>
      <c r="L23" s="4" t="s">
        <v>84</v>
      </c>
      <c r="M23" s="4" t="s">
        <v>85</v>
      </c>
      <c r="N23" s="4" t="s">
        <v>81</v>
      </c>
      <c r="O23" s="4" t="s">
        <v>86</v>
      </c>
      <c r="P23" s="4" t="s">
        <v>84</v>
      </c>
      <c r="Q23" s="4" t="s">
        <v>87</v>
      </c>
      <c r="R23" s="4" t="s">
        <v>81</v>
      </c>
      <c r="S23" s="4" t="s">
        <v>81</v>
      </c>
      <c r="T23" s="4">
        <v>4</v>
      </c>
      <c r="U23" s="4">
        <v>3</v>
      </c>
      <c r="V23" s="4">
        <v>12</v>
      </c>
      <c r="W23" s="4" t="s">
        <v>94</v>
      </c>
      <c r="X23" s="4">
        <v>80</v>
      </c>
      <c r="Y23" s="4">
        <v>2</v>
      </c>
      <c r="Z23" s="4" t="s">
        <v>87</v>
      </c>
      <c r="AA23" s="4" t="s">
        <v>88</v>
      </c>
      <c r="AB23" s="4" t="s">
        <v>81</v>
      </c>
      <c r="AC23" s="4" t="s">
        <v>84</v>
      </c>
      <c r="AD23" s="4" t="s">
        <v>89</v>
      </c>
    </row>
    <row r="24" spans="1:30" x14ac:dyDescent="0.3">
      <c r="A24" s="4" t="s">
        <v>157</v>
      </c>
      <c r="B24" s="4" t="s">
        <v>158</v>
      </c>
      <c r="C24" s="4" t="s">
        <v>159</v>
      </c>
      <c r="D24" s="4" t="s">
        <v>78</v>
      </c>
      <c r="E24" s="4" t="s">
        <v>50</v>
      </c>
      <c r="F24" s="4" t="s">
        <v>79</v>
      </c>
      <c r="G24" s="4" t="s">
        <v>80</v>
      </c>
      <c r="H24" s="4" t="s">
        <v>81</v>
      </c>
      <c r="I24" s="4" t="s">
        <v>81</v>
      </c>
      <c r="J24" s="4" t="s">
        <v>82</v>
      </c>
      <c r="K24" s="4" t="s">
        <v>83</v>
      </c>
      <c r="L24" s="4" t="s">
        <v>84</v>
      </c>
      <c r="M24" s="4" t="s">
        <v>85</v>
      </c>
      <c r="N24" s="4" t="s">
        <v>81</v>
      </c>
      <c r="O24" s="4" t="s">
        <v>86</v>
      </c>
      <c r="P24" s="4" t="s">
        <v>84</v>
      </c>
      <c r="Q24" s="4" t="s">
        <v>87</v>
      </c>
      <c r="R24" s="4" t="s">
        <v>81</v>
      </c>
      <c r="S24" s="4" t="s">
        <v>81</v>
      </c>
      <c r="T24" s="4">
        <v>3</v>
      </c>
      <c r="U24" s="4">
        <v>2</v>
      </c>
      <c r="V24" s="4">
        <v>6</v>
      </c>
      <c r="W24" s="4" t="s">
        <v>81</v>
      </c>
      <c r="X24" s="4">
        <v>80</v>
      </c>
      <c r="Y24" s="4">
        <v>1</v>
      </c>
      <c r="Z24" s="4" t="s">
        <v>87</v>
      </c>
      <c r="AA24" s="4" t="s">
        <v>88</v>
      </c>
      <c r="AB24" s="4" t="s">
        <v>81</v>
      </c>
      <c r="AC24" s="4" t="s">
        <v>84</v>
      </c>
      <c r="AD24" s="4" t="s">
        <v>89</v>
      </c>
    </row>
    <row r="25" spans="1:30" x14ac:dyDescent="0.3">
      <c r="A25" s="4" t="s">
        <v>160</v>
      </c>
      <c r="B25" s="4" t="s">
        <v>161</v>
      </c>
      <c r="C25" s="4" t="s">
        <v>162</v>
      </c>
      <c r="D25" s="4" t="s">
        <v>98</v>
      </c>
      <c r="E25" s="4" t="s">
        <v>50</v>
      </c>
      <c r="F25" s="4" t="s">
        <v>79</v>
      </c>
      <c r="G25" s="4" t="s">
        <v>80</v>
      </c>
      <c r="H25" s="4" t="s">
        <v>99</v>
      </c>
      <c r="I25" s="4" t="s">
        <v>94</v>
      </c>
      <c r="J25" s="4" t="s">
        <v>82</v>
      </c>
      <c r="K25" s="4" t="s">
        <v>83</v>
      </c>
      <c r="L25" s="4" t="s">
        <v>84</v>
      </c>
      <c r="M25" s="4" t="s">
        <v>85</v>
      </c>
      <c r="N25" s="4" t="s">
        <v>94</v>
      </c>
      <c r="O25" s="4" t="s">
        <v>86</v>
      </c>
      <c r="P25" s="4" t="s">
        <v>84</v>
      </c>
      <c r="Q25" s="4" t="s">
        <v>87</v>
      </c>
      <c r="R25" s="4" t="s">
        <v>81</v>
      </c>
      <c r="S25" s="4" t="s">
        <v>81</v>
      </c>
      <c r="T25" s="4">
        <v>5</v>
      </c>
      <c r="U25" s="4">
        <v>4</v>
      </c>
      <c r="V25" s="4">
        <v>20</v>
      </c>
      <c r="W25" s="4" t="s">
        <v>99</v>
      </c>
      <c r="X25" s="4">
        <v>80</v>
      </c>
      <c r="Y25" s="4">
        <v>4</v>
      </c>
      <c r="Z25" s="4" t="s">
        <v>87</v>
      </c>
      <c r="AA25" s="4" t="s">
        <v>88</v>
      </c>
      <c r="AB25" s="4" t="s">
        <v>81</v>
      </c>
      <c r="AC25" s="4" t="s">
        <v>84</v>
      </c>
      <c r="AD25" s="4" t="s">
        <v>89</v>
      </c>
    </row>
    <row r="26" spans="1:30" x14ac:dyDescent="0.3">
      <c r="A26" s="4" t="s">
        <v>163</v>
      </c>
      <c r="B26" s="4" t="s">
        <v>164</v>
      </c>
      <c r="C26" s="4" t="s">
        <v>165</v>
      </c>
      <c r="D26" s="4" t="s">
        <v>78</v>
      </c>
      <c r="E26" s="4" t="s">
        <v>50</v>
      </c>
      <c r="F26" s="4" t="s">
        <v>79</v>
      </c>
      <c r="G26" s="4" t="s">
        <v>80</v>
      </c>
      <c r="H26" s="4" t="s">
        <v>81</v>
      </c>
      <c r="I26" s="4" t="s">
        <v>81</v>
      </c>
      <c r="J26" s="4" t="s">
        <v>82</v>
      </c>
      <c r="K26" s="4" t="s">
        <v>83</v>
      </c>
      <c r="L26" s="4" t="s">
        <v>84</v>
      </c>
      <c r="M26" s="4" t="s">
        <v>85</v>
      </c>
      <c r="N26" s="4" t="s">
        <v>81</v>
      </c>
      <c r="O26" s="4" t="s">
        <v>86</v>
      </c>
      <c r="P26" s="4" t="s">
        <v>84</v>
      </c>
      <c r="Q26" s="4" t="s">
        <v>87</v>
      </c>
      <c r="R26" s="4" t="s">
        <v>81</v>
      </c>
      <c r="S26" s="4" t="s">
        <v>81</v>
      </c>
      <c r="T26" s="4">
        <v>3</v>
      </c>
      <c r="U26" s="4">
        <v>2</v>
      </c>
      <c r="V26" s="4">
        <v>6</v>
      </c>
      <c r="W26" s="4" t="s">
        <v>81</v>
      </c>
      <c r="X26" s="4">
        <v>60</v>
      </c>
      <c r="Y26" s="4">
        <v>2</v>
      </c>
      <c r="Z26" s="4" t="s">
        <v>87</v>
      </c>
      <c r="AA26" s="4" t="s">
        <v>88</v>
      </c>
      <c r="AB26" s="4" t="s">
        <v>81</v>
      </c>
      <c r="AC26" s="4" t="s">
        <v>84</v>
      </c>
      <c r="AD26" s="4" t="s">
        <v>89</v>
      </c>
    </row>
    <row r="27" spans="1:30" x14ac:dyDescent="0.3">
      <c r="A27" s="4" t="s">
        <v>166</v>
      </c>
      <c r="B27" s="4" t="s">
        <v>167</v>
      </c>
      <c r="C27" s="4" t="s">
        <v>168</v>
      </c>
      <c r="D27" s="4" t="s">
        <v>93</v>
      </c>
      <c r="E27" s="4" t="s">
        <v>50</v>
      </c>
      <c r="F27" s="4" t="s">
        <v>79</v>
      </c>
      <c r="G27" s="4" t="s">
        <v>80</v>
      </c>
      <c r="H27" s="4" t="s">
        <v>94</v>
      </c>
      <c r="I27" s="4" t="s">
        <v>81</v>
      </c>
      <c r="J27" s="4" t="s">
        <v>82</v>
      </c>
      <c r="K27" s="4" t="s">
        <v>83</v>
      </c>
      <c r="L27" s="4" t="s">
        <v>84</v>
      </c>
      <c r="M27" s="4" t="s">
        <v>85</v>
      </c>
      <c r="N27" s="4" t="s">
        <v>81</v>
      </c>
      <c r="O27" s="4" t="s">
        <v>86</v>
      </c>
      <c r="P27" s="4" t="s">
        <v>84</v>
      </c>
      <c r="Q27" s="4" t="s">
        <v>87</v>
      </c>
      <c r="R27" s="4" t="s">
        <v>81</v>
      </c>
      <c r="S27" s="4" t="s">
        <v>81</v>
      </c>
      <c r="T27" s="4">
        <v>4</v>
      </c>
      <c r="U27" s="4">
        <v>3</v>
      </c>
      <c r="V27" s="4">
        <v>12</v>
      </c>
      <c r="W27" s="4" t="s">
        <v>94</v>
      </c>
      <c r="X27" s="4">
        <v>80</v>
      </c>
      <c r="Y27" s="4">
        <v>2</v>
      </c>
      <c r="Z27" s="4" t="s">
        <v>87</v>
      </c>
      <c r="AA27" s="4" t="s">
        <v>88</v>
      </c>
      <c r="AB27" s="4" t="s">
        <v>81</v>
      </c>
      <c r="AC27" s="4" t="s">
        <v>84</v>
      </c>
      <c r="AD27" s="4" t="s">
        <v>89</v>
      </c>
    </row>
    <row r="28" spans="1:30" x14ac:dyDescent="0.3">
      <c r="A28" s="4" t="s">
        <v>169</v>
      </c>
      <c r="B28" s="4" t="s">
        <v>170</v>
      </c>
      <c r="C28" s="4" t="s">
        <v>171</v>
      </c>
      <c r="D28" s="4" t="s">
        <v>98</v>
      </c>
      <c r="E28" s="4" t="s">
        <v>50</v>
      </c>
      <c r="F28" s="4" t="s">
        <v>79</v>
      </c>
      <c r="G28" s="4" t="s">
        <v>80</v>
      </c>
      <c r="H28" s="4" t="s">
        <v>99</v>
      </c>
      <c r="I28" s="4" t="s">
        <v>94</v>
      </c>
      <c r="J28" s="4" t="s">
        <v>82</v>
      </c>
      <c r="K28" s="4" t="s">
        <v>83</v>
      </c>
      <c r="L28" s="4" t="s">
        <v>84</v>
      </c>
      <c r="M28" s="4" t="s">
        <v>85</v>
      </c>
      <c r="N28" s="4" t="s">
        <v>94</v>
      </c>
      <c r="O28" s="4" t="s">
        <v>86</v>
      </c>
      <c r="P28" s="4" t="s">
        <v>84</v>
      </c>
      <c r="Q28" s="4" t="s">
        <v>87</v>
      </c>
      <c r="R28" s="4" t="s">
        <v>81</v>
      </c>
      <c r="S28" s="4" t="s">
        <v>81</v>
      </c>
      <c r="T28" s="4">
        <v>5</v>
      </c>
      <c r="U28" s="4">
        <v>2</v>
      </c>
      <c r="V28" s="4">
        <v>10</v>
      </c>
      <c r="W28" s="4" t="s">
        <v>94</v>
      </c>
      <c r="X28" s="4">
        <v>80</v>
      </c>
      <c r="Y28" s="4">
        <v>2</v>
      </c>
      <c r="Z28" s="4" t="s">
        <v>87</v>
      </c>
      <c r="AA28" s="4" t="s">
        <v>88</v>
      </c>
      <c r="AB28" s="4" t="s">
        <v>81</v>
      </c>
      <c r="AC28" s="4" t="s">
        <v>84</v>
      </c>
      <c r="AD28" s="4" t="s">
        <v>89</v>
      </c>
    </row>
    <row r="29" spans="1:30" x14ac:dyDescent="0.3">
      <c r="A29" s="4" t="s">
        <v>172</v>
      </c>
      <c r="B29" s="4" t="s">
        <v>173</v>
      </c>
      <c r="C29" s="4" t="s">
        <v>174</v>
      </c>
      <c r="D29" s="4" t="s">
        <v>93</v>
      </c>
      <c r="E29" s="4" t="s">
        <v>50</v>
      </c>
      <c r="F29" s="4" t="s">
        <v>79</v>
      </c>
      <c r="G29" s="4" t="s">
        <v>80</v>
      </c>
      <c r="H29" s="4" t="s">
        <v>94</v>
      </c>
      <c r="I29" s="4" t="s">
        <v>81</v>
      </c>
      <c r="J29" s="4" t="s">
        <v>82</v>
      </c>
      <c r="K29" s="4" t="s">
        <v>83</v>
      </c>
      <c r="L29" s="4" t="s">
        <v>84</v>
      </c>
      <c r="M29" s="4" t="s">
        <v>85</v>
      </c>
      <c r="N29" s="4" t="s">
        <v>81</v>
      </c>
      <c r="O29" s="4" t="s">
        <v>86</v>
      </c>
      <c r="P29" s="4" t="s">
        <v>84</v>
      </c>
      <c r="Q29" s="4" t="s">
        <v>87</v>
      </c>
      <c r="R29" s="4" t="s">
        <v>81</v>
      </c>
      <c r="S29" s="4" t="s">
        <v>81</v>
      </c>
      <c r="T29" s="4">
        <v>4</v>
      </c>
      <c r="U29" s="4">
        <v>4</v>
      </c>
      <c r="V29" s="4">
        <v>16</v>
      </c>
      <c r="W29" s="4" t="s">
        <v>94</v>
      </c>
      <c r="X29" s="4">
        <v>80</v>
      </c>
      <c r="Y29" s="4">
        <v>3</v>
      </c>
      <c r="Z29" s="4" t="s">
        <v>87</v>
      </c>
      <c r="AA29" s="4" t="s">
        <v>88</v>
      </c>
      <c r="AB29" s="4" t="s">
        <v>81</v>
      </c>
      <c r="AC29" s="4" t="s">
        <v>84</v>
      </c>
      <c r="AD29" s="4" t="s">
        <v>89</v>
      </c>
    </row>
    <row r="30" spans="1:30" x14ac:dyDescent="0.3">
      <c r="A30" s="4" t="s">
        <v>175</v>
      </c>
      <c r="B30" s="4" t="s">
        <v>176</v>
      </c>
      <c r="C30" s="4" t="s">
        <v>177</v>
      </c>
      <c r="D30" s="4" t="s">
        <v>78</v>
      </c>
      <c r="E30" s="4" t="s">
        <v>50</v>
      </c>
      <c r="F30" s="4" t="s">
        <v>79</v>
      </c>
      <c r="G30" s="4" t="s">
        <v>80</v>
      </c>
      <c r="H30" s="4" t="s">
        <v>81</v>
      </c>
      <c r="I30" s="4" t="s">
        <v>81</v>
      </c>
      <c r="J30" s="4" t="s">
        <v>82</v>
      </c>
      <c r="K30" s="4" t="s">
        <v>83</v>
      </c>
      <c r="L30" s="4" t="s">
        <v>84</v>
      </c>
      <c r="M30" s="4" t="s">
        <v>85</v>
      </c>
      <c r="N30" s="4" t="s">
        <v>81</v>
      </c>
      <c r="O30" s="4" t="s">
        <v>86</v>
      </c>
      <c r="P30" s="4" t="s">
        <v>84</v>
      </c>
      <c r="Q30" s="4" t="s">
        <v>87</v>
      </c>
      <c r="R30" s="4" t="s">
        <v>81</v>
      </c>
      <c r="S30" s="4" t="s">
        <v>81</v>
      </c>
      <c r="T30" s="4">
        <v>3</v>
      </c>
      <c r="U30" s="4">
        <v>2</v>
      </c>
      <c r="V30" s="4">
        <v>6</v>
      </c>
      <c r="W30" s="4" t="s">
        <v>81</v>
      </c>
      <c r="X30" s="4">
        <v>80</v>
      </c>
      <c r="Y30" s="4">
        <v>1</v>
      </c>
      <c r="Z30" s="4" t="s">
        <v>87</v>
      </c>
      <c r="AA30" s="4" t="s">
        <v>88</v>
      </c>
      <c r="AB30" s="4" t="s">
        <v>81</v>
      </c>
      <c r="AC30" s="4" t="s">
        <v>84</v>
      </c>
      <c r="AD30" s="4" t="s">
        <v>89</v>
      </c>
    </row>
    <row r="31" spans="1:30" x14ac:dyDescent="0.3">
      <c r="A31" s="4" t="s">
        <v>178</v>
      </c>
      <c r="B31" s="4" t="s">
        <v>179</v>
      </c>
      <c r="C31" s="4" t="s">
        <v>180</v>
      </c>
      <c r="D31" s="4" t="s">
        <v>98</v>
      </c>
      <c r="E31" s="4" t="s">
        <v>50</v>
      </c>
      <c r="F31" s="4" t="s">
        <v>79</v>
      </c>
      <c r="G31" s="4" t="s">
        <v>80</v>
      </c>
      <c r="H31" s="4" t="s">
        <v>99</v>
      </c>
      <c r="I31" s="4" t="s">
        <v>94</v>
      </c>
      <c r="J31" s="4" t="s">
        <v>82</v>
      </c>
      <c r="K31" s="4" t="s">
        <v>83</v>
      </c>
      <c r="L31" s="4" t="s">
        <v>84</v>
      </c>
      <c r="M31" s="4" t="s">
        <v>85</v>
      </c>
      <c r="N31" s="4" t="s">
        <v>94</v>
      </c>
      <c r="O31" s="4" t="s">
        <v>86</v>
      </c>
      <c r="P31" s="4" t="s">
        <v>84</v>
      </c>
      <c r="Q31" s="4" t="s">
        <v>87</v>
      </c>
      <c r="R31" s="4" t="s">
        <v>81</v>
      </c>
      <c r="S31" s="4" t="s">
        <v>81</v>
      </c>
      <c r="T31" s="4">
        <v>5</v>
      </c>
      <c r="U31" s="4">
        <v>3</v>
      </c>
      <c r="V31" s="4">
        <v>15</v>
      </c>
      <c r="W31" s="4" t="s">
        <v>94</v>
      </c>
      <c r="X31" s="4">
        <v>60</v>
      </c>
      <c r="Y31" s="4">
        <v>6</v>
      </c>
      <c r="Z31" s="4" t="s">
        <v>81</v>
      </c>
      <c r="AA31" s="4" t="s">
        <v>88</v>
      </c>
      <c r="AB31" s="4" t="s">
        <v>81</v>
      </c>
      <c r="AC31" s="4" t="s">
        <v>84</v>
      </c>
      <c r="AD31" s="4" t="s">
        <v>89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I6"/>
  <sheetViews>
    <sheetView tabSelected="1" workbookViewId="0">
      <selection activeCell="C10" sqref="C10"/>
    </sheetView>
  </sheetViews>
  <sheetFormatPr defaultRowHeight="14.4" x14ac:dyDescent="0.3"/>
  <cols>
    <col min="1" max="2" width="14" customWidth="1"/>
    <col min="3" max="3" width="65" customWidth="1"/>
    <col min="4" max="4" width="35" customWidth="1"/>
    <col min="5" max="5" width="28" customWidth="1"/>
    <col min="6" max="6" width="16" customWidth="1"/>
    <col min="7" max="7" width="18" customWidth="1"/>
    <col min="8" max="8" width="35" customWidth="1"/>
    <col min="9" max="9" width="45" customWidth="1"/>
  </cols>
  <sheetData>
    <row r="1" spans="1:9" x14ac:dyDescent="0.3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23</v>
      </c>
      <c r="H1" s="1" t="s">
        <v>187</v>
      </c>
      <c r="I1" s="1" t="s">
        <v>188</v>
      </c>
    </row>
    <row r="2" spans="1:9" x14ac:dyDescent="0.3">
      <c r="A2" s="4" t="s">
        <v>189</v>
      </c>
      <c r="B2" s="4" t="s">
        <v>94</v>
      </c>
      <c r="C2" s="4" t="s">
        <v>190</v>
      </c>
      <c r="D2" s="4" t="s">
        <v>191</v>
      </c>
      <c r="E2" s="4" t="s">
        <v>192</v>
      </c>
      <c r="F2" s="4" t="s">
        <v>193</v>
      </c>
      <c r="G2" s="4" t="s">
        <v>194</v>
      </c>
      <c r="H2" s="4"/>
      <c r="I2" s="4" t="s">
        <v>195</v>
      </c>
    </row>
    <row r="3" spans="1:9" x14ac:dyDescent="0.3">
      <c r="A3" s="4" t="s">
        <v>196</v>
      </c>
      <c r="B3" s="4" t="s">
        <v>94</v>
      </c>
      <c r="C3" s="4" t="s">
        <v>197</v>
      </c>
      <c r="D3" s="4" t="s">
        <v>198</v>
      </c>
      <c r="E3" s="4" t="s">
        <v>199</v>
      </c>
      <c r="F3" s="4" t="s">
        <v>193</v>
      </c>
      <c r="G3" s="4" t="s">
        <v>194</v>
      </c>
      <c r="H3" s="4"/>
      <c r="I3" s="4" t="s">
        <v>195</v>
      </c>
    </row>
    <row r="4" spans="1:9" x14ac:dyDescent="0.3">
      <c r="A4" s="4" t="s">
        <v>200</v>
      </c>
      <c r="B4" s="4" t="s">
        <v>81</v>
      </c>
      <c r="C4" s="4" t="s">
        <v>201</v>
      </c>
      <c r="D4" s="4" t="s">
        <v>202</v>
      </c>
      <c r="E4" s="4" t="s">
        <v>79</v>
      </c>
      <c r="F4" s="4" t="s">
        <v>203</v>
      </c>
      <c r="G4" s="4" t="s">
        <v>194</v>
      </c>
      <c r="H4" s="4"/>
      <c r="I4" s="4" t="s">
        <v>195</v>
      </c>
    </row>
    <row r="5" spans="1:9" x14ac:dyDescent="0.3">
      <c r="A5" s="4" t="s">
        <v>204</v>
      </c>
      <c r="B5" s="4" t="s">
        <v>94</v>
      </c>
      <c r="C5" s="4" t="s">
        <v>205</v>
      </c>
      <c r="D5" s="4" t="s">
        <v>206</v>
      </c>
      <c r="E5" s="4" t="s">
        <v>207</v>
      </c>
      <c r="F5" s="4" t="s">
        <v>208</v>
      </c>
      <c r="G5" s="4" t="s">
        <v>194</v>
      </c>
      <c r="H5" s="4"/>
      <c r="I5" s="4" t="s">
        <v>195</v>
      </c>
    </row>
    <row r="6" spans="1:9" x14ac:dyDescent="0.3">
      <c r="A6" s="4" t="s">
        <v>209</v>
      </c>
      <c r="B6" s="4" t="s">
        <v>81</v>
      </c>
      <c r="C6" s="4" t="s">
        <v>210</v>
      </c>
      <c r="D6" s="4" t="s">
        <v>211</v>
      </c>
      <c r="E6" s="4" t="s">
        <v>192</v>
      </c>
      <c r="F6" s="4" t="s">
        <v>212</v>
      </c>
      <c r="G6" s="4" t="s">
        <v>194</v>
      </c>
      <c r="H6" s="4"/>
      <c r="I6" s="4" t="s">
        <v>195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B10"/>
  <sheetViews>
    <sheetView workbookViewId="0">
      <selection activeCell="B8" sqref="A1:B10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5" t="s">
        <v>213</v>
      </c>
      <c r="B1" s="5" t="s">
        <v>214</v>
      </c>
    </row>
    <row r="2" spans="1:2" x14ac:dyDescent="0.3">
      <c r="A2" s="4" t="s">
        <v>215</v>
      </c>
      <c r="B2" s="4" t="s">
        <v>216</v>
      </c>
    </row>
    <row r="3" spans="1:2" x14ac:dyDescent="0.3">
      <c r="A3" s="4" t="s">
        <v>217</v>
      </c>
      <c r="B3" s="4" t="s">
        <v>218</v>
      </c>
    </row>
    <row r="4" spans="1:2" x14ac:dyDescent="0.3">
      <c r="A4" s="4" t="s">
        <v>219</v>
      </c>
      <c r="B4" s="4" t="s">
        <v>220</v>
      </c>
    </row>
    <row r="5" spans="1:2" x14ac:dyDescent="0.3">
      <c r="A5" s="4" t="s">
        <v>221</v>
      </c>
      <c r="B5" s="4" t="s">
        <v>222</v>
      </c>
    </row>
    <row r="6" spans="1:2" x14ac:dyDescent="0.3">
      <c r="A6" s="4" t="s">
        <v>223</v>
      </c>
      <c r="B6" s="4" t="s">
        <v>224</v>
      </c>
    </row>
    <row r="7" spans="1:2" x14ac:dyDescent="0.3">
      <c r="A7" s="4" t="s">
        <v>225</v>
      </c>
      <c r="B7" s="4" t="s">
        <v>226</v>
      </c>
    </row>
    <row r="8" spans="1:2" x14ac:dyDescent="0.3">
      <c r="A8" s="4" t="s">
        <v>227</v>
      </c>
      <c r="B8" s="4" t="s">
        <v>228</v>
      </c>
    </row>
    <row r="9" spans="1:2" x14ac:dyDescent="0.3">
      <c r="A9" s="4" t="s">
        <v>229</v>
      </c>
      <c r="B9" s="4" t="s">
        <v>230</v>
      </c>
    </row>
    <row r="10" spans="1:2" x14ac:dyDescent="0.3">
      <c r="A10" s="4" t="s">
        <v>231</v>
      </c>
      <c r="B10" s="4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Report</vt:lpstr>
      <vt:lpstr>Management Dashboard</vt:lpstr>
      <vt:lpstr>TPRM-007 Assessment Data</vt:lpstr>
      <vt:lpstr>Management Actions</vt:lpstr>
      <vt:lpstr>Report 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2026-08-27T15:37:15Z</dcterms:created>
  <dcterms:modified xsi:type="dcterms:W3CDTF">2026-08-27T15:38:33Z</dcterms:modified>
</cp:coreProperties>
</file>