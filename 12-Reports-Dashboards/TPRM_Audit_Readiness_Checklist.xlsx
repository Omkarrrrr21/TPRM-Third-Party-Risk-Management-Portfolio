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D1B487C4-8AC4-40B6-8295-1D632F1ECD4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udit Readiness Checklist" sheetId="1" r:id="rId1"/>
    <sheet name="Readiness Summary" sheetId="2" r:id="rId2"/>
    <sheet name="Audit Evidence Request" sheetId="3" r:id="rId3"/>
    <sheet name="Auditor Interview Ques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</calcChain>
</file>

<file path=xl/sharedStrings.xml><?xml version="1.0" encoding="utf-8"?>
<sst xmlns="http://schemas.openxmlformats.org/spreadsheetml/2006/main" count="481" uniqueCount="316">
  <si>
    <t>Check ID</t>
  </si>
  <si>
    <t>Audit Area</t>
  </si>
  <si>
    <t>Requirement / Checkpoint</t>
  </si>
  <si>
    <t>Related TPRM Document(s)</t>
  </si>
  <si>
    <t>Expected Evidence</t>
  </si>
  <si>
    <t>Owner</t>
  </si>
  <si>
    <t>Frequency</t>
  </si>
  <si>
    <t>Readiness Status</t>
  </si>
  <si>
    <t>Evidence Status</t>
  </si>
  <si>
    <t>Finding / Gap</t>
  </si>
  <si>
    <t>Corrective Action</t>
  </si>
  <si>
    <t>Priority</t>
  </si>
  <si>
    <t>Target Date</t>
  </si>
  <si>
    <t>Auditor Notes</t>
  </si>
  <si>
    <t>AR-001</t>
  </si>
  <si>
    <t>Governance</t>
  </si>
  <si>
    <t>TPRM program scope and objectives are formally defined.</t>
  </si>
  <si>
    <t>TPRM-001</t>
  </si>
  <si>
    <t>Approved program charter</t>
  </si>
  <si>
    <t>TPRM Manager</t>
  </si>
  <si>
    <t>Annual</t>
  </si>
  <si>
    <t>Ready</t>
  </si>
  <si>
    <t>Available</t>
  </si>
  <si>
    <t>High</t>
  </si>
  <si>
    <t>AR-002</t>
  </si>
  <si>
    <t>TPRM roles, responsibilities and decision authority are defined.</t>
  </si>
  <si>
    <t>TPRM-002</t>
  </si>
  <si>
    <t>Approved RACI / responsibility matrix</t>
  </si>
  <si>
    <t>AR-003</t>
  </si>
  <si>
    <t>Policy</t>
  </si>
  <si>
    <t>TPRM policy is documented, reviewed and approved.</t>
  </si>
  <si>
    <t>TPRM-003</t>
  </si>
  <si>
    <t>Approved policy and review record</t>
  </si>
  <si>
    <t>Pending Verification</t>
  </si>
  <si>
    <t>Pending</t>
  </si>
  <si>
    <t>AR-004</t>
  </si>
  <si>
    <t>Procedure</t>
  </si>
  <si>
    <t>Vendor management and lifecycle procedures are documented.</t>
  </si>
  <si>
    <t>TPRM-004 / TPRM-005</t>
  </si>
  <si>
    <t>Approved procedures and workflow</t>
  </si>
  <si>
    <t>Vendor Manager</t>
  </si>
  <si>
    <t>AR-005</t>
  </si>
  <si>
    <t>Inventory</t>
  </si>
  <si>
    <t>Complete vendor inventory is maintained.</t>
  </si>
  <si>
    <t>TPRM-006</t>
  </si>
  <si>
    <t>Current vendor inventory</t>
  </si>
  <si>
    <t>Monthly</t>
  </si>
  <si>
    <t>AR-006</t>
  </si>
  <si>
    <t>Risk Assessment</t>
  </si>
  <si>
    <t>Vendor risk assessments are completed using defined criteria.</t>
  </si>
  <si>
    <t>TPRM-007 / TPRM-008</t>
  </si>
  <si>
    <t>Completed risk assessments</t>
  </si>
  <si>
    <t>GRC Analyst</t>
  </si>
  <si>
    <t>At onboarding / periodic</t>
  </si>
  <si>
    <t>AR-007</t>
  </si>
  <si>
    <t>Risk Register</t>
  </si>
  <si>
    <t>Vendor risks are centrally recorded with owners and ratings.</t>
  </si>
  <si>
    <t>TPRM-009</t>
  </si>
  <si>
    <t>Current vendor risk register</t>
  </si>
  <si>
    <t>Risk Owner</t>
  </si>
  <si>
    <t>AR-008</t>
  </si>
  <si>
    <t>Due Diligence</t>
  </si>
  <si>
    <t>Due diligence is performed according to vendor risk/tier.</t>
  </si>
  <si>
    <t>TPRM-010 / TPRM-021</t>
  </si>
  <si>
    <t>Due diligence records</t>
  </si>
  <si>
    <t>Onboarding / periodic</t>
  </si>
  <si>
    <t>AR-009</t>
  </si>
  <si>
    <t>Security Assessment</t>
  </si>
  <si>
    <t>Security questionnaires and assurance evidence are reviewed.</t>
  </si>
  <si>
    <t>TPRM-011 / TPRM-012 / TPRM-022</t>
  </si>
  <si>
    <t>Questionnaire and evidence review</t>
  </si>
  <si>
    <t>Security / GRC</t>
  </si>
  <si>
    <t>Risk-based</t>
  </si>
  <si>
    <t>AR-010</t>
  </si>
  <si>
    <t>Contracts</t>
  </si>
  <si>
    <t>Security, privacy and SLA requirements are reflected in contracts.</t>
  </si>
  <si>
    <t>TPRM-013</t>
  </si>
  <si>
    <t>Contract/SLA/security review record</t>
  </si>
  <si>
    <t>Legal / Vendor Manager</t>
  </si>
  <si>
    <t>Contract event</t>
  </si>
  <si>
    <t>AR-011</t>
  </si>
  <si>
    <t>SLA</t>
  </si>
  <si>
    <t>Vendor performance and SLA commitments are monitored.</t>
  </si>
  <si>
    <t>TPRM-014 / TPRM-028</t>
  </si>
  <si>
    <t>SLA reports and breach records</t>
  </si>
  <si>
    <t>Medium</t>
  </si>
  <si>
    <t>AR-012</t>
  </si>
  <si>
    <t>Incident</t>
  </si>
  <si>
    <t>Vendor incidents and security events are recorded and managed.</t>
  </si>
  <si>
    <t>TPRM-015 / TPRM-027</t>
  </si>
  <si>
    <t>Incident/event records</t>
  </si>
  <si>
    <t>Security Incident Owner</t>
  </si>
  <si>
    <t>Event-driven</t>
  </si>
  <si>
    <t>AR-013</t>
  </si>
  <si>
    <t>BCDR</t>
  </si>
  <si>
    <t>Critical vendors undergo BCDR assessment and testing.</t>
  </si>
  <si>
    <t>TPRM-016 / TPRM-029</t>
  </si>
  <si>
    <t>BCDR assessment/test evidence</t>
  </si>
  <si>
    <t>BCM Owner</t>
  </si>
  <si>
    <t>Annual / risk-based</t>
  </si>
  <si>
    <t>AR-014</t>
  </si>
  <si>
    <t>Risk Treatment</t>
  </si>
  <si>
    <t>Risk treatment actions have owners, dates and closure evidence.</t>
  </si>
  <si>
    <t>TPRM-017</t>
  </si>
  <si>
    <t>Treatment/remediation register</t>
  </si>
  <si>
    <t>AR-015</t>
  </si>
  <si>
    <t>Reassessment</t>
  </si>
  <si>
    <t>Vendor risks are periodically reassessed and material-change triggers exist.</t>
  </si>
  <si>
    <t>TPRM-018 / TPRM-026</t>
  </si>
  <si>
    <t>Reassessment and monitoring records</t>
  </si>
  <si>
    <t>Periodic / event-driven</t>
  </si>
  <si>
    <t>AR-016</t>
  </si>
  <si>
    <t>Offboarding</t>
  </si>
  <si>
    <t>Vendor exit, access revocation and data closure are documented.</t>
  </si>
  <si>
    <t>TPRM-019</t>
  </si>
  <si>
    <t>Completed offboarding checklist</t>
  </si>
  <si>
    <t>Vendor Manager / IT</t>
  </si>
  <si>
    <t>Exit event</t>
  </si>
  <si>
    <t>AR-017</t>
  </si>
  <si>
    <t>Management Reporting</t>
  </si>
  <si>
    <t>Management receives TPRM risk and performance reporting.</t>
  </si>
  <si>
    <t>TPRM-020</t>
  </si>
  <si>
    <t>Dashboard / management report</t>
  </si>
  <si>
    <t>Monthly / quarterly</t>
  </si>
  <si>
    <t>AR-018</t>
  </si>
  <si>
    <t>Periodic Review</t>
  </si>
  <si>
    <t>Due diligence and security posture are periodically reviewed.</t>
  </si>
  <si>
    <t>TPRM-021 / TPRM-022</t>
  </si>
  <si>
    <t>Periodic review records</t>
  </si>
  <si>
    <t>Periodic</t>
  </si>
  <si>
    <t>AR-019</t>
  </si>
  <si>
    <t>Exceptions</t>
  </si>
  <si>
    <t>Security exceptions/waivers are formally approved and time-bound.</t>
  </si>
  <si>
    <t>TPRM-023</t>
  </si>
  <si>
    <t>Exception/waiver approval</t>
  </si>
  <si>
    <t>AR-020</t>
  </si>
  <si>
    <t>Risk Acceptance</t>
  </si>
  <si>
    <t>Residual risk acceptance has rationale, owner, approver and expiry.</t>
  </si>
  <si>
    <t>TPRM-024</t>
  </si>
  <si>
    <t>Risk acceptance records</t>
  </si>
  <si>
    <t>Risk Owner / Management</t>
  </si>
  <si>
    <t>AR-021</t>
  </si>
  <si>
    <t>Escalation</t>
  </si>
  <si>
    <t>High/critical or unacceptable vendor risks are escalated.</t>
  </si>
  <si>
    <t>TPRM-025</t>
  </si>
  <si>
    <t>Escalation record / decision</t>
  </si>
  <si>
    <t>AR-022</t>
  </si>
  <si>
    <t>Monitoring</t>
  </si>
  <si>
    <t>Continuous monitoring indicators and triggers are defined.</t>
  </si>
  <si>
    <t>TPRM-026</t>
  </si>
  <si>
    <t>Monitoring records / alerts</t>
  </si>
  <si>
    <t>Continuous</t>
  </si>
  <si>
    <t>AR-023</t>
  </si>
  <si>
    <t>Privacy</t>
  </si>
  <si>
    <t>Vendor privacy and data protection requirements are assessed.</t>
  </si>
  <si>
    <t>TPRM-030</t>
  </si>
  <si>
    <t>Privacy assessment / DPA review</t>
  </si>
  <si>
    <t>Privacy / GRC</t>
  </si>
  <si>
    <t>Risk-based / periodic</t>
  </si>
  <si>
    <t>AR-024</t>
  </si>
  <si>
    <t>Evidence</t>
  </si>
  <si>
    <t>Evidence is indexed, traceable and validated.</t>
  </si>
  <si>
    <t>Evidence Index / Validation Mapping</t>
  </si>
  <si>
    <t>Evidence register and validation records</t>
  </si>
  <si>
    <t>AR-025</t>
  </si>
  <si>
    <t>Findings have documented corrective actions and validation.</t>
  </si>
  <si>
    <t>TPRM-017 / Validation Mapping</t>
  </si>
  <si>
    <t>Finding, action and closure evidence</t>
  </si>
  <si>
    <t>AR-026</t>
  </si>
  <si>
    <t>KPI/KRI</t>
  </si>
  <si>
    <t>TPRM KPIs/KRIs have definitions, thresholds and owners.</t>
  </si>
  <si>
    <t>KPI/KRI Summary</t>
  </si>
  <si>
    <t>KPI/KRI register and dashboard</t>
  </si>
  <si>
    <t>AR-027</t>
  </si>
  <si>
    <t>Cross-Document Traceability</t>
  </si>
  <si>
    <t>Key records can be traced across the TPRM lifecycle.</t>
  </si>
  <si>
    <t>Cross-Document Validation Report</t>
  </si>
  <si>
    <t>Cross-document validation matrix</t>
  </si>
  <si>
    <t>Quarterly</t>
  </si>
  <si>
    <t>AR-028</t>
  </si>
  <si>
    <t>Document Control</t>
  </si>
  <si>
    <t>Document IDs, versions, approvals and review dates are consistent.</t>
  </si>
  <si>
    <t>TPRM-001 to TPRM-030</t>
  </si>
  <si>
    <t>Document control metadata</t>
  </si>
  <si>
    <t>Document Owner</t>
  </si>
  <si>
    <t>Annual / change</t>
  </si>
  <si>
    <t>AR-029</t>
  </si>
  <si>
    <t>GitHub Safety</t>
  </si>
  <si>
    <t>Portfolio contains no real confidential/vendor-sensitive information.</t>
  </si>
  <si>
    <t>README / Evidence Pack</t>
  </si>
  <si>
    <t>Repository content review</t>
  </si>
  <si>
    <t>Portfolio Owner</t>
  </si>
  <si>
    <t>Before release</t>
  </si>
  <si>
    <t>Critical</t>
  </si>
  <si>
    <t>AR-030</t>
  </si>
  <si>
    <t>Audit Readiness</t>
  </si>
  <si>
    <t>Management can demonstrate governance, risk, evidence and remediation traceability.</t>
  </si>
  <si>
    <t>All TPRM deliverables</t>
  </si>
  <si>
    <t>Audit evidence pack and management report</t>
  </si>
  <si>
    <t>Audit event</t>
  </si>
  <si>
    <t>TPRM AUDIT READINESS SUMMARY</t>
  </si>
  <si>
    <t>Mayekar Technologies Pvt. Ltd.</t>
  </si>
  <si>
    <t>Scope</t>
  </si>
  <si>
    <t>30 audit-readiness checkpoints covering TPRM governance, risk, evidence, monitoring and management reporting.</t>
  </si>
  <si>
    <t>Ready Checkpoints</t>
  </si>
  <si>
    <t>Currently supported by portfolio deliverables.</t>
  </si>
  <si>
    <t>Requires direct file/evidence validation.</t>
  </si>
  <si>
    <t>Partially Ready</t>
  </si>
  <si>
    <t>Some supporting evidence or controls remain.</t>
  </si>
  <si>
    <t>Evidence Available</t>
  </si>
  <si>
    <t>Evidence is marked available in the portfolio.</t>
  </si>
  <si>
    <t>Evidence Pending</t>
  </si>
  <si>
    <t>Evidence requires collection or validation.</t>
  </si>
  <si>
    <t>Overall Readiness</t>
  </si>
  <si>
    <t>Conditional</t>
  </si>
  <si>
    <t>Portfolio is not audit-ready until all pending verification items are directly validated.</t>
  </si>
  <si>
    <t>Release Recommendation</t>
  </si>
  <si>
    <t>Complete final file-level QA, cross-document validation and evidence validation before representing the portfolio as fully audit-ready.</t>
  </si>
  <si>
    <t>Request ID</t>
  </si>
  <si>
    <t>Audit Evidence Requested</t>
  </si>
  <si>
    <t>Related TPRM Area</t>
  </si>
  <si>
    <t>Primary Source</t>
  </si>
  <si>
    <t>Minimum Evidence Expected</t>
  </si>
  <si>
    <t>Status</t>
  </si>
  <si>
    <t>AER-001</t>
  </si>
  <si>
    <t>Approved TPRM charter and governance approval</t>
  </si>
  <si>
    <t>Current approved version with approval record</t>
  </si>
  <si>
    <t>AER-002</t>
  </si>
  <si>
    <t>TPRM roles and decision authority</t>
  </si>
  <si>
    <t>RACI / responsibility matrix</t>
  </si>
  <si>
    <t>AER-003</t>
  </si>
  <si>
    <t>Vendor inventory and tiering</t>
  </si>
  <si>
    <t>Current complete inventory</t>
  </si>
  <si>
    <t>AER-004</t>
  </si>
  <si>
    <t>Sample vendor risk assessments</t>
  </si>
  <si>
    <t>Completed assessments with rationale</t>
  </si>
  <si>
    <t>AER-005</t>
  </si>
  <si>
    <t>Vendor risk register</t>
  </si>
  <si>
    <t>Current risks, owners, ratings and status</t>
  </si>
  <si>
    <t>AER-006</t>
  </si>
  <si>
    <t>Due diligence and security assessment evidence</t>
  </si>
  <si>
    <t>Due Diligence / Security</t>
  </si>
  <si>
    <t>TPRM-010 / TPRM-011 / TPRM-012</t>
  </si>
  <si>
    <t>Questionnaires, assurance and review records</t>
  </si>
  <si>
    <t>AER-007</t>
  </si>
  <si>
    <t>Contracts and SLA monitoring</t>
  </si>
  <si>
    <t>Contracts / SLA</t>
  </si>
  <si>
    <t>TPRM-013 / TPRM-014 / TPRM-028</t>
  </si>
  <si>
    <t>Security clauses, SLA targets and performance evidence</t>
  </si>
  <si>
    <t>AER-008</t>
  </si>
  <si>
    <t>Incidents and corrective actions</t>
  </si>
  <si>
    <t>Incident/event and closure evidence</t>
  </si>
  <si>
    <t>AER-009</t>
  </si>
  <si>
    <t>BCDR assessments/tests</t>
  </si>
  <si>
    <t>Assessment and test results</t>
  </si>
  <si>
    <t>AER-010</t>
  </si>
  <si>
    <t>Risk treatment, acceptance and escalation</t>
  </si>
  <si>
    <t>Risk</t>
  </si>
  <si>
    <t>TPRM-017 / TPRM-024 / TPRM-025</t>
  </si>
  <si>
    <t>Actions, approvals and escalation decisions</t>
  </si>
  <si>
    <t>AER-011</t>
  </si>
  <si>
    <t>Monitoring and reassessment</t>
  </si>
  <si>
    <t>TPRM-018 / TPRM-021 / TPRM-026</t>
  </si>
  <si>
    <t>Review and monitoring records</t>
  </si>
  <si>
    <t>AER-012</t>
  </si>
  <si>
    <t>Offboarding evidence</t>
  </si>
  <si>
    <t>Exit checklist, access/data closure</t>
  </si>
  <si>
    <t>AER-013</t>
  </si>
  <si>
    <t>Management dashboard and KPI/KRI reports</t>
  </si>
  <si>
    <t>Management</t>
  </si>
  <si>
    <t>TPRM-020 / KPI-KRI Summary</t>
  </si>
  <si>
    <t>Management reporting pack</t>
  </si>
  <si>
    <t>AER-014</t>
  </si>
  <si>
    <t>Evidence index and validation closure</t>
  </si>
  <si>
    <t>Traceable evidence and closure records</t>
  </si>
  <si>
    <t>AER-015</t>
  </si>
  <si>
    <t>Privacy / data protection assessment</t>
  </si>
  <si>
    <t>Privacy assessment and DPA review</t>
  </si>
  <si>
    <t>Question ID</t>
  </si>
  <si>
    <t>Topic</t>
  </si>
  <si>
    <t>Sample Auditor Question</t>
  </si>
  <si>
    <t>Expected Portfolio Reference</t>
  </si>
  <si>
    <t>IQ-001</t>
  </si>
  <si>
    <t>Who owns the TPRM program and who can approve material vendor risk?</t>
  </si>
  <si>
    <t>TPRM-001 / TPRM-002</t>
  </si>
  <si>
    <t>IQ-002</t>
  </si>
  <si>
    <t>Vendor Lifecycle</t>
  </si>
  <si>
    <t>How is a new vendor identified, classified and onboarded?</t>
  </si>
  <si>
    <t>TPRM-005 / TPRM-006 / TPRM-010</t>
  </si>
  <si>
    <t>IQ-003</t>
  </si>
  <si>
    <t>How is inherent and residual vendor risk determined?</t>
  </si>
  <si>
    <t>TPRM-007 / TPRM-008 / TPRM-009</t>
  </si>
  <si>
    <t>IQ-004</t>
  </si>
  <si>
    <t>Security</t>
  </si>
  <si>
    <t>How do you validate vendor security claims?</t>
  </si>
  <si>
    <t>IQ-005</t>
  </si>
  <si>
    <t>How are vendor risks remediated and closed?</t>
  </si>
  <si>
    <t>TPRM-017 / Evidence Validation</t>
  </si>
  <si>
    <t>IQ-006</t>
  </si>
  <si>
    <t>When can residual risk be accepted and who approves it?</t>
  </si>
  <si>
    <t>IQ-007</t>
  </si>
  <si>
    <t>What happens when a vendor risk exceeds tolerance?</t>
  </si>
  <si>
    <t>IQ-008</t>
  </si>
  <si>
    <t>How are vendors monitored after onboarding?</t>
  </si>
  <si>
    <t>TPRM-014 / TPRM-026</t>
  </si>
  <si>
    <t>IQ-009</t>
  </si>
  <si>
    <t>Incidents</t>
  </si>
  <si>
    <t>How are vendor incidents handled and fed back into risk?</t>
  </si>
  <si>
    <t>TPRM-015 / TPRM-027 / TPRM-018</t>
  </si>
  <si>
    <t>IQ-010</t>
  </si>
  <si>
    <t>How do you ensure access and data are closed at vendor exit?</t>
  </si>
  <si>
    <t>IQ-011</t>
  </si>
  <si>
    <t>What KPIs/KRIs are reported to management?</t>
  </si>
  <si>
    <t>IQ-012</t>
  </si>
  <si>
    <t>How can an auditor trace a control requirement to closure evidence?</t>
  </si>
  <si>
    <t>Evidence Index / Validation Mapping / Cross-Document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</si>
</sst>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2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MAuditReadinessChecklist" displayName="TPRMAuditReadinessChecklist" ref="A1:N31">
  <autoFilter ref="A1:N31" xr:uid="{00000000-0009-0000-0100-000001000000}"/>
  <tableColumns count="14">
    <tableColumn id="1" xr3:uid="{00000000-0010-0000-0000-000001000000}" name="Check ID" dataDxfId="19"/>
    <tableColumn id="2" xr3:uid="{00000000-0010-0000-0000-000002000000}" name="Audit Area" dataDxfId="18"/>
    <tableColumn id="3" xr3:uid="{00000000-0010-0000-0000-000003000000}" name="Requirement / Checkpoint" dataDxfId="17"/>
    <tableColumn id="4" xr3:uid="{00000000-0010-0000-0000-000004000000}" name="Related TPRM Document(s)" dataDxfId="16"/>
    <tableColumn id="5" xr3:uid="{00000000-0010-0000-0000-000005000000}" name="Expected Evidence" dataDxfId="15"/>
    <tableColumn id="6" xr3:uid="{00000000-0010-0000-0000-000006000000}" name="Owner" dataDxfId="14"/>
    <tableColumn id="7" xr3:uid="{00000000-0010-0000-0000-000007000000}" name="Frequency" dataDxfId="13"/>
    <tableColumn id="8" xr3:uid="{00000000-0010-0000-0000-000008000000}" name="Readiness Status" dataDxfId="12"/>
    <tableColumn id="9" xr3:uid="{00000000-0010-0000-0000-000009000000}" name="Evidence Status" dataDxfId="11"/>
    <tableColumn id="10" xr3:uid="{00000000-0010-0000-0000-00000A000000}" name="Finding / Gap" dataDxfId="10"/>
    <tableColumn id="11" xr3:uid="{00000000-0010-0000-0000-00000B000000}" name="Corrective Action" dataDxfId="9"/>
    <tableColumn id="12" xr3:uid="{00000000-0010-0000-0000-00000C000000}" name="Priority" dataDxfId="8"/>
    <tableColumn id="13" xr3:uid="{00000000-0010-0000-0000-00000D000000}" name="Target Date" dataDxfId="7"/>
    <tableColumn id="14" xr3:uid="{00000000-0010-0000-0000-00000E000000}" name="Auditor Note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ditEvidenceRequests" displayName="AuditEvidenceRequests" ref="A1:F16">
  <autoFilter ref="A1:F16" xr:uid="{00000000-0009-0000-0100-000002000000}"/>
  <tableColumns count="6">
    <tableColumn id="1" xr3:uid="{00000000-0010-0000-0100-000001000000}" name="Request ID" dataDxfId="5"/>
    <tableColumn id="2" xr3:uid="{00000000-0010-0000-0100-000002000000}" name="Audit Evidence Requested" dataDxfId="4"/>
    <tableColumn id="3" xr3:uid="{00000000-0010-0000-0100-000003000000}" name="Related TPRM Area" dataDxfId="3"/>
    <tableColumn id="4" xr3:uid="{00000000-0010-0000-0100-000004000000}" name="Primary Source" dataDxfId="2"/>
    <tableColumn id="5" xr3:uid="{00000000-0010-0000-0100-000005000000}" name="Minimum Evidence Expected" dataDxfId="1"/>
    <tableColumn id="6" xr3:uid="{00000000-0010-0000-0100-000006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N31"/>
  <sheetViews>
    <sheetView showGridLines="0" zoomScale="48" workbookViewId="0">
      <pane ySplit="1" topLeftCell="A2" activePane="bottomLeft" state="frozen"/>
      <selection pane="bottomLeft" activeCell="C27" sqref="C27"/>
    </sheetView>
  </sheetViews>
  <sheetFormatPr defaultRowHeight="14.4" x14ac:dyDescent="0.3"/>
  <cols>
    <col min="1" max="1" width="12" customWidth="1"/>
    <col min="2" max="2" width="24" customWidth="1"/>
    <col min="3" max="3" width="62" customWidth="1"/>
    <col min="4" max="4" width="34" customWidth="1"/>
    <col min="5" max="5" width="52" customWidth="1"/>
    <col min="6" max="6" width="28" customWidth="1"/>
    <col min="7" max="8" width="24" customWidth="1"/>
    <col min="9" max="9" width="20" customWidth="1"/>
    <col min="10" max="10" width="45" customWidth="1"/>
    <col min="11" max="11" width="55" customWidth="1"/>
    <col min="12" max="12" width="14" customWidth="1"/>
    <col min="13" max="13" width="16" customWidth="1"/>
    <col min="14" max="14" width="55" customWidth="1"/>
  </cols>
  <sheetData>
    <row r="1" spans="1:14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0.05" customHeight="1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/>
      <c r="K2" s="3"/>
      <c r="L2" s="3" t="s">
        <v>23</v>
      </c>
      <c r="M2" s="3"/>
      <c r="N2" s="3"/>
    </row>
    <row r="3" spans="1:14" ht="70.05" customHeight="1" x14ac:dyDescent="0.3">
      <c r="A3" s="3" t="s">
        <v>24</v>
      </c>
      <c r="B3" s="3" t="s">
        <v>15</v>
      </c>
      <c r="C3" s="3" t="s">
        <v>25</v>
      </c>
      <c r="D3" s="3" t="s">
        <v>26</v>
      </c>
      <c r="E3" s="3" t="s">
        <v>27</v>
      </c>
      <c r="F3" s="3" t="s">
        <v>19</v>
      </c>
      <c r="G3" s="3" t="s">
        <v>20</v>
      </c>
      <c r="H3" s="3" t="s">
        <v>21</v>
      </c>
      <c r="I3" s="3" t="s">
        <v>22</v>
      </c>
      <c r="J3" s="3"/>
      <c r="K3" s="3"/>
      <c r="L3" s="3" t="s">
        <v>23</v>
      </c>
      <c r="M3" s="3"/>
      <c r="N3" s="3"/>
    </row>
    <row r="4" spans="1:14" ht="70.05" customHeight="1" x14ac:dyDescent="0.3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19</v>
      </c>
      <c r="G4" s="3" t="s">
        <v>20</v>
      </c>
      <c r="H4" s="3" t="s">
        <v>33</v>
      </c>
      <c r="I4" s="3" t="s">
        <v>34</v>
      </c>
      <c r="J4" s="3"/>
      <c r="K4" s="3"/>
      <c r="L4" s="3" t="s">
        <v>23</v>
      </c>
      <c r="M4" s="3"/>
      <c r="N4" s="3"/>
    </row>
    <row r="5" spans="1:14" ht="70.05" customHeight="1" x14ac:dyDescent="0.3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20</v>
      </c>
      <c r="H5" s="3" t="s">
        <v>33</v>
      </c>
      <c r="I5" s="3" t="s">
        <v>34</v>
      </c>
      <c r="J5" s="3"/>
      <c r="K5" s="3"/>
      <c r="L5" s="3" t="s">
        <v>23</v>
      </c>
      <c r="M5" s="3"/>
      <c r="N5" s="3"/>
    </row>
    <row r="6" spans="1:14" ht="70.05" customHeight="1" x14ac:dyDescent="0.3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40</v>
      </c>
      <c r="G6" s="3" t="s">
        <v>46</v>
      </c>
      <c r="H6" s="3" t="s">
        <v>33</v>
      </c>
      <c r="I6" s="3" t="s">
        <v>34</v>
      </c>
      <c r="J6" s="3"/>
      <c r="K6" s="3"/>
      <c r="L6" s="3" t="s">
        <v>23</v>
      </c>
      <c r="M6" s="3"/>
      <c r="N6" s="3"/>
    </row>
    <row r="7" spans="1:14" ht="70.05" customHeight="1" x14ac:dyDescent="0.3">
      <c r="A7" s="3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33</v>
      </c>
      <c r="I7" s="3" t="s">
        <v>34</v>
      </c>
      <c r="J7" s="3"/>
      <c r="K7" s="3"/>
      <c r="L7" s="3" t="s">
        <v>23</v>
      </c>
      <c r="M7" s="3"/>
      <c r="N7" s="3"/>
    </row>
    <row r="8" spans="1:14" ht="70.05" customHeight="1" x14ac:dyDescent="0.3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46</v>
      </c>
      <c r="H8" s="3" t="s">
        <v>33</v>
      </c>
      <c r="I8" s="3" t="s">
        <v>34</v>
      </c>
      <c r="J8" s="3"/>
      <c r="K8" s="3"/>
      <c r="L8" s="3" t="s">
        <v>23</v>
      </c>
      <c r="M8" s="3"/>
      <c r="N8" s="3"/>
    </row>
    <row r="9" spans="1:14" ht="70.05" customHeight="1" x14ac:dyDescent="0.3">
      <c r="A9" s="3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52</v>
      </c>
      <c r="G9" s="3" t="s">
        <v>65</v>
      </c>
      <c r="H9" s="3" t="s">
        <v>33</v>
      </c>
      <c r="I9" s="3" t="s">
        <v>34</v>
      </c>
      <c r="J9" s="3"/>
      <c r="K9" s="3"/>
      <c r="L9" s="3" t="s">
        <v>23</v>
      </c>
      <c r="M9" s="3"/>
      <c r="N9" s="3"/>
    </row>
    <row r="10" spans="1:14" ht="70.05" customHeight="1" x14ac:dyDescent="0.3">
      <c r="A10" s="3" t="s">
        <v>66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33</v>
      </c>
      <c r="I10" s="3" t="s">
        <v>34</v>
      </c>
      <c r="J10" s="3"/>
      <c r="K10" s="3"/>
      <c r="L10" s="3" t="s">
        <v>23</v>
      </c>
      <c r="M10" s="3"/>
      <c r="N10" s="3"/>
    </row>
    <row r="11" spans="1:14" ht="70.05" customHeight="1" x14ac:dyDescent="0.3">
      <c r="A11" s="3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33</v>
      </c>
      <c r="I11" s="3" t="s">
        <v>34</v>
      </c>
      <c r="J11" s="3"/>
      <c r="K11" s="3"/>
      <c r="L11" s="3" t="s">
        <v>23</v>
      </c>
      <c r="M11" s="3"/>
      <c r="N11" s="3"/>
    </row>
    <row r="12" spans="1:14" ht="70.05" customHeight="1" x14ac:dyDescent="0.3">
      <c r="A12" s="3" t="s">
        <v>80</v>
      </c>
      <c r="B12" s="3" t="s">
        <v>81</v>
      </c>
      <c r="C12" s="3" t="s">
        <v>82</v>
      </c>
      <c r="D12" s="3" t="s">
        <v>83</v>
      </c>
      <c r="E12" s="3" t="s">
        <v>84</v>
      </c>
      <c r="F12" s="3" t="s">
        <v>40</v>
      </c>
      <c r="G12" s="3" t="s">
        <v>46</v>
      </c>
      <c r="H12" s="3" t="s">
        <v>33</v>
      </c>
      <c r="I12" s="3" t="s">
        <v>34</v>
      </c>
      <c r="J12" s="3"/>
      <c r="K12" s="3"/>
      <c r="L12" s="3" t="s">
        <v>85</v>
      </c>
      <c r="M12" s="3"/>
      <c r="N12" s="3"/>
    </row>
    <row r="13" spans="1:14" ht="70.05" customHeight="1" x14ac:dyDescent="0.3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3" t="s">
        <v>33</v>
      </c>
      <c r="I13" s="3" t="s">
        <v>34</v>
      </c>
      <c r="J13" s="3"/>
      <c r="K13" s="3"/>
      <c r="L13" s="3" t="s">
        <v>23</v>
      </c>
      <c r="M13" s="3"/>
      <c r="N13" s="3"/>
    </row>
    <row r="14" spans="1:14" ht="70.05" customHeight="1" x14ac:dyDescent="0.3">
      <c r="A14" s="3" t="s">
        <v>93</v>
      </c>
      <c r="B14" s="3" t="s">
        <v>94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3" t="s">
        <v>33</v>
      </c>
      <c r="I14" s="3" t="s">
        <v>34</v>
      </c>
      <c r="J14" s="3"/>
      <c r="K14" s="3"/>
      <c r="L14" s="3" t="s">
        <v>23</v>
      </c>
      <c r="M14" s="3"/>
      <c r="N14" s="3"/>
    </row>
    <row r="15" spans="1:14" ht="70.05" customHeight="1" x14ac:dyDescent="0.3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104</v>
      </c>
      <c r="F15" s="3" t="s">
        <v>59</v>
      </c>
      <c r="G15" s="3" t="s">
        <v>46</v>
      </c>
      <c r="H15" s="3" t="s">
        <v>33</v>
      </c>
      <c r="I15" s="3" t="s">
        <v>34</v>
      </c>
      <c r="J15" s="3"/>
      <c r="K15" s="3"/>
      <c r="L15" s="3" t="s">
        <v>23</v>
      </c>
      <c r="M15" s="3"/>
      <c r="N15" s="3"/>
    </row>
    <row r="16" spans="1:14" ht="70.05" customHeight="1" x14ac:dyDescent="0.3">
      <c r="A16" s="3" t="s">
        <v>105</v>
      </c>
      <c r="B16" s="3" t="s">
        <v>106</v>
      </c>
      <c r="C16" s="3" t="s">
        <v>107</v>
      </c>
      <c r="D16" s="3" t="s">
        <v>108</v>
      </c>
      <c r="E16" s="3" t="s">
        <v>109</v>
      </c>
      <c r="F16" s="3" t="s">
        <v>52</v>
      </c>
      <c r="G16" s="3" t="s">
        <v>110</v>
      </c>
      <c r="H16" s="3" t="s">
        <v>33</v>
      </c>
      <c r="I16" s="3" t="s">
        <v>34</v>
      </c>
      <c r="J16" s="3"/>
      <c r="K16" s="3"/>
      <c r="L16" s="3" t="s">
        <v>23</v>
      </c>
      <c r="M16" s="3"/>
      <c r="N16" s="3"/>
    </row>
    <row r="17" spans="1:14" ht="70.05" customHeight="1" x14ac:dyDescent="0.3">
      <c r="A17" s="3" t="s">
        <v>111</v>
      </c>
      <c r="B17" s="3" t="s">
        <v>112</v>
      </c>
      <c r="C17" s="3" t="s">
        <v>113</v>
      </c>
      <c r="D17" s="3" t="s">
        <v>114</v>
      </c>
      <c r="E17" s="3" t="s">
        <v>115</v>
      </c>
      <c r="F17" s="3" t="s">
        <v>116</v>
      </c>
      <c r="G17" s="3" t="s">
        <v>117</v>
      </c>
      <c r="H17" s="3" t="s">
        <v>33</v>
      </c>
      <c r="I17" s="3" t="s">
        <v>34</v>
      </c>
      <c r="J17" s="3"/>
      <c r="K17" s="3"/>
      <c r="L17" s="3" t="s">
        <v>23</v>
      </c>
      <c r="M17" s="3"/>
      <c r="N17" s="3"/>
    </row>
    <row r="18" spans="1:14" ht="70.05" customHeight="1" x14ac:dyDescent="0.3">
      <c r="A18" s="3" t="s">
        <v>118</v>
      </c>
      <c r="B18" s="3" t="s">
        <v>119</v>
      </c>
      <c r="C18" s="3" t="s">
        <v>120</v>
      </c>
      <c r="D18" s="3" t="s">
        <v>121</v>
      </c>
      <c r="E18" s="3" t="s">
        <v>122</v>
      </c>
      <c r="F18" s="3" t="s">
        <v>19</v>
      </c>
      <c r="G18" s="3" t="s">
        <v>123</v>
      </c>
      <c r="H18" s="3" t="s">
        <v>21</v>
      </c>
      <c r="I18" s="3" t="s">
        <v>22</v>
      </c>
      <c r="J18" s="3"/>
      <c r="K18" s="3"/>
      <c r="L18" s="3" t="s">
        <v>85</v>
      </c>
      <c r="M18" s="3"/>
      <c r="N18" s="3"/>
    </row>
    <row r="19" spans="1:14" ht="70.05" customHeight="1" x14ac:dyDescent="0.3">
      <c r="A19" s="3" t="s">
        <v>124</v>
      </c>
      <c r="B19" s="3" t="s">
        <v>125</v>
      </c>
      <c r="C19" s="3" t="s">
        <v>126</v>
      </c>
      <c r="D19" s="3" t="s">
        <v>127</v>
      </c>
      <c r="E19" s="3" t="s">
        <v>128</v>
      </c>
      <c r="F19" s="3" t="s">
        <v>52</v>
      </c>
      <c r="G19" s="3" t="s">
        <v>129</v>
      </c>
      <c r="H19" s="3" t="s">
        <v>33</v>
      </c>
      <c r="I19" s="3" t="s">
        <v>34</v>
      </c>
      <c r="J19" s="3"/>
      <c r="K19" s="3"/>
      <c r="L19" s="3" t="s">
        <v>85</v>
      </c>
      <c r="M19" s="3"/>
      <c r="N19" s="3"/>
    </row>
    <row r="20" spans="1:14" ht="70.05" customHeight="1" x14ac:dyDescent="0.3">
      <c r="A20" s="3" t="s">
        <v>130</v>
      </c>
      <c r="B20" s="3" t="s">
        <v>131</v>
      </c>
      <c r="C20" s="3" t="s">
        <v>132</v>
      </c>
      <c r="D20" s="3" t="s">
        <v>133</v>
      </c>
      <c r="E20" s="3" t="s">
        <v>134</v>
      </c>
      <c r="F20" s="3" t="s">
        <v>59</v>
      </c>
      <c r="G20" s="3" t="s">
        <v>92</v>
      </c>
      <c r="H20" s="3" t="s">
        <v>33</v>
      </c>
      <c r="I20" s="3" t="s">
        <v>34</v>
      </c>
      <c r="J20" s="3"/>
      <c r="K20" s="3"/>
      <c r="L20" s="3" t="s">
        <v>23</v>
      </c>
      <c r="M20" s="3"/>
      <c r="N20" s="3"/>
    </row>
    <row r="21" spans="1:14" ht="70.05" customHeight="1" x14ac:dyDescent="0.3">
      <c r="A21" s="3" t="s">
        <v>135</v>
      </c>
      <c r="B21" s="3" t="s">
        <v>136</v>
      </c>
      <c r="C21" s="3" t="s">
        <v>137</v>
      </c>
      <c r="D21" s="3" t="s">
        <v>138</v>
      </c>
      <c r="E21" s="3" t="s">
        <v>139</v>
      </c>
      <c r="F21" s="3" t="s">
        <v>140</v>
      </c>
      <c r="G21" s="3" t="s">
        <v>92</v>
      </c>
      <c r="H21" s="3" t="s">
        <v>33</v>
      </c>
      <c r="I21" s="3" t="s">
        <v>34</v>
      </c>
      <c r="J21" s="3"/>
      <c r="K21" s="3"/>
      <c r="L21" s="3" t="s">
        <v>23</v>
      </c>
      <c r="M21" s="3"/>
      <c r="N21" s="3"/>
    </row>
    <row r="22" spans="1:14" ht="70.05" customHeight="1" x14ac:dyDescent="0.3">
      <c r="A22" s="3" t="s">
        <v>141</v>
      </c>
      <c r="B22" s="3" t="s">
        <v>142</v>
      </c>
      <c r="C22" s="3" t="s">
        <v>143</v>
      </c>
      <c r="D22" s="3" t="s">
        <v>144</v>
      </c>
      <c r="E22" s="3" t="s">
        <v>145</v>
      </c>
      <c r="F22" s="3" t="s">
        <v>19</v>
      </c>
      <c r="G22" s="3" t="s">
        <v>92</v>
      </c>
      <c r="H22" s="3" t="s">
        <v>33</v>
      </c>
      <c r="I22" s="3" t="s">
        <v>34</v>
      </c>
      <c r="J22" s="3"/>
      <c r="K22" s="3"/>
      <c r="L22" s="3" t="s">
        <v>23</v>
      </c>
      <c r="M22" s="3"/>
      <c r="N22" s="3"/>
    </row>
    <row r="23" spans="1:14" ht="70.05" customHeight="1" x14ac:dyDescent="0.3">
      <c r="A23" s="3" t="s">
        <v>146</v>
      </c>
      <c r="B23" s="3" t="s">
        <v>147</v>
      </c>
      <c r="C23" s="3" t="s">
        <v>148</v>
      </c>
      <c r="D23" s="3" t="s">
        <v>149</v>
      </c>
      <c r="E23" s="3" t="s">
        <v>150</v>
      </c>
      <c r="F23" s="3" t="s">
        <v>52</v>
      </c>
      <c r="G23" s="3" t="s">
        <v>151</v>
      </c>
      <c r="H23" s="3" t="s">
        <v>33</v>
      </c>
      <c r="I23" s="3" t="s">
        <v>34</v>
      </c>
      <c r="J23" s="3"/>
      <c r="K23" s="3"/>
      <c r="L23" s="3" t="s">
        <v>23</v>
      </c>
      <c r="M23" s="3"/>
      <c r="N23" s="3"/>
    </row>
    <row r="24" spans="1:14" ht="70.05" customHeight="1" x14ac:dyDescent="0.3">
      <c r="A24" s="3" t="s">
        <v>152</v>
      </c>
      <c r="B24" s="3" t="s">
        <v>153</v>
      </c>
      <c r="C24" s="3" t="s">
        <v>154</v>
      </c>
      <c r="D24" s="3" t="s">
        <v>155</v>
      </c>
      <c r="E24" s="3" t="s">
        <v>156</v>
      </c>
      <c r="F24" s="3" t="s">
        <v>157</v>
      </c>
      <c r="G24" s="3" t="s">
        <v>158</v>
      </c>
      <c r="H24" s="3" t="s">
        <v>33</v>
      </c>
      <c r="I24" s="3" t="s">
        <v>34</v>
      </c>
      <c r="J24" s="3"/>
      <c r="K24" s="3"/>
      <c r="L24" s="3" t="s">
        <v>23</v>
      </c>
      <c r="M24" s="3"/>
      <c r="N24" s="3"/>
    </row>
    <row r="25" spans="1:14" ht="70.05" customHeight="1" x14ac:dyDescent="0.3">
      <c r="A25" s="3" t="s">
        <v>159</v>
      </c>
      <c r="B25" s="3" t="s">
        <v>160</v>
      </c>
      <c r="C25" s="3" t="s">
        <v>161</v>
      </c>
      <c r="D25" s="3" t="s">
        <v>162</v>
      </c>
      <c r="E25" s="3" t="s">
        <v>163</v>
      </c>
      <c r="F25" s="3" t="s">
        <v>52</v>
      </c>
      <c r="G25" s="3" t="s">
        <v>151</v>
      </c>
      <c r="H25" s="3" t="s">
        <v>33</v>
      </c>
      <c r="I25" s="3" t="s">
        <v>34</v>
      </c>
      <c r="J25" s="3"/>
      <c r="K25" s="3"/>
      <c r="L25" s="3" t="s">
        <v>23</v>
      </c>
      <c r="M25" s="3"/>
      <c r="N25" s="3"/>
    </row>
    <row r="26" spans="1:14" ht="70.05" customHeight="1" x14ac:dyDescent="0.3">
      <c r="A26" s="3" t="s">
        <v>164</v>
      </c>
      <c r="B26" s="3" t="s">
        <v>10</v>
      </c>
      <c r="C26" s="3" t="s">
        <v>165</v>
      </c>
      <c r="D26" s="3" t="s">
        <v>166</v>
      </c>
      <c r="E26" s="3" t="s">
        <v>167</v>
      </c>
      <c r="F26" s="3" t="s">
        <v>59</v>
      </c>
      <c r="G26" s="3" t="s">
        <v>46</v>
      </c>
      <c r="H26" s="3" t="s">
        <v>33</v>
      </c>
      <c r="I26" s="3" t="s">
        <v>34</v>
      </c>
      <c r="J26" s="3"/>
      <c r="K26" s="3"/>
      <c r="L26" s="3" t="s">
        <v>23</v>
      </c>
      <c r="M26" s="3"/>
      <c r="N26" s="3"/>
    </row>
    <row r="27" spans="1:14" ht="70.05" customHeight="1" x14ac:dyDescent="0.3">
      <c r="A27" s="3" t="s">
        <v>168</v>
      </c>
      <c r="B27" s="3" t="s">
        <v>169</v>
      </c>
      <c r="C27" s="3" t="s">
        <v>170</v>
      </c>
      <c r="D27" s="3" t="s">
        <v>171</v>
      </c>
      <c r="E27" s="3" t="s">
        <v>172</v>
      </c>
      <c r="F27" s="3" t="s">
        <v>19</v>
      </c>
      <c r="G27" s="3" t="s">
        <v>46</v>
      </c>
      <c r="H27" s="3" t="s">
        <v>21</v>
      </c>
      <c r="I27" s="3" t="s">
        <v>22</v>
      </c>
      <c r="J27" s="3"/>
      <c r="K27" s="3"/>
      <c r="L27" s="3" t="s">
        <v>85</v>
      </c>
      <c r="M27" s="3"/>
      <c r="N27" s="3"/>
    </row>
    <row r="28" spans="1:14" ht="70.05" customHeight="1" x14ac:dyDescent="0.3">
      <c r="A28" s="3" t="s">
        <v>173</v>
      </c>
      <c r="B28" s="3" t="s">
        <v>174</v>
      </c>
      <c r="C28" s="3" t="s">
        <v>175</v>
      </c>
      <c r="D28" s="3" t="s">
        <v>176</v>
      </c>
      <c r="E28" s="3" t="s">
        <v>177</v>
      </c>
      <c r="F28" s="3" t="s">
        <v>52</v>
      </c>
      <c r="G28" s="3" t="s">
        <v>178</v>
      </c>
      <c r="H28" s="3" t="s">
        <v>33</v>
      </c>
      <c r="I28" s="3" t="s">
        <v>34</v>
      </c>
      <c r="J28" s="3"/>
      <c r="K28" s="3"/>
      <c r="L28" s="3" t="s">
        <v>23</v>
      </c>
      <c r="M28" s="3"/>
      <c r="N28" s="3"/>
    </row>
    <row r="29" spans="1:14" ht="70.05" customHeight="1" x14ac:dyDescent="0.3">
      <c r="A29" s="3" t="s">
        <v>179</v>
      </c>
      <c r="B29" s="3" t="s">
        <v>180</v>
      </c>
      <c r="C29" s="3" t="s">
        <v>181</v>
      </c>
      <c r="D29" s="3" t="s">
        <v>182</v>
      </c>
      <c r="E29" s="3" t="s">
        <v>183</v>
      </c>
      <c r="F29" s="3" t="s">
        <v>184</v>
      </c>
      <c r="G29" s="3" t="s">
        <v>185</v>
      </c>
      <c r="H29" s="3" t="s">
        <v>33</v>
      </c>
      <c r="I29" s="3" t="s">
        <v>34</v>
      </c>
      <c r="J29" s="3"/>
      <c r="K29" s="3"/>
      <c r="L29" s="3" t="s">
        <v>23</v>
      </c>
      <c r="M29" s="3"/>
      <c r="N29" s="3"/>
    </row>
    <row r="30" spans="1:14" ht="70.05" customHeight="1" x14ac:dyDescent="0.3">
      <c r="A30" s="3" t="s">
        <v>186</v>
      </c>
      <c r="B30" s="3" t="s">
        <v>187</v>
      </c>
      <c r="C30" s="3" t="s">
        <v>188</v>
      </c>
      <c r="D30" s="3" t="s">
        <v>189</v>
      </c>
      <c r="E30" s="3" t="s">
        <v>190</v>
      </c>
      <c r="F30" s="3" t="s">
        <v>191</v>
      </c>
      <c r="G30" s="3" t="s">
        <v>192</v>
      </c>
      <c r="H30" s="3" t="s">
        <v>21</v>
      </c>
      <c r="I30" s="3" t="s">
        <v>22</v>
      </c>
      <c r="J30" s="3"/>
      <c r="K30" s="3"/>
      <c r="L30" s="3" t="s">
        <v>193</v>
      </c>
      <c r="M30" s="3"/>
      <c r="N30" s="3"/>
    </row>
    <row r="31" spans="1:14" ht="70.05" customHeight="1" x14ac:dyDescent="0.3">
      <c r="A31" s="3" t="s">
        <v>194</v>
      </c>
      <c r="B31" s="3" t="s">
        <v>195</v>
      </c>
      <c r="C31" s="3" t="s">
        <v>196</v>
      </c>
      <c r="D31" s="3" t="s">
        <v>197</v>
      </c>
      <c r="E31" s="3" t="s">
        <v>198</v>
      </c>
      <c r="F31" s="3" t="s">
        <v>19</v>
      </c>
      <c r="G31" s="3" t="s">
        <v>199</v>
      </c>
      <c r="H31" s="3" t="s">
        <v>33</v>
      </c>
      <c r="I31" s="3" t="s">
        <v>34</v>
      </c>
      <c r="J31" s="3"/>
      <c r="K31" s="3"/>
      <c r="L31" s="3" t="s">
        <v>193</v>
      </c>
      <c r="M31" s="3"/>
      <c r="N31" s="3"/>
    </row>
  </sheetData>
  <dataValidations count="3">
    <dataValidation type="list" allowBlank="1" sqref="H2:H31" xr:uid="{00000000-0002-0000-0000-000000000000}">
      <formula1>"Ready,Partially Ready,Pending Verification,Not Ready"</formula1>
    </dataValidation>
    <dataValidation type="list" allowBlank="1" sqref="I2:I31" xr:uid="{00000000-0002-0000-0000-000001000000}">
      <formula1>"Available,Partial,Pending,Not Applicable"</formula1>
    </dataValidation>
    <dataValidation type="list" allowBlank="1" sqref="L2:L31" xr:uid="{00000000-0002-0000-0000-000002000000}">
      <formula1>"Critical,High,Medium,Low"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C9"/>
  <sheetViews>
    <sheetView zoomScale="69" workbookViewId="0">
      <selection activeCell="B18" sqref="B18"/>
    </sheetView>
  </sheetViews>
  <sheetFormatPr defaultRowHeight="14.4" x14ac:dyDescent="0.3"/>
  <cols>
    <col min="1" max="1" width="50.21875" bestFit="1" customWidth="1"/>
    <col min="2" max="2" width="127.5546875" bestFit="1" customWidth="1"/>
    <col min="3" max="3" width="78.6640625" bestFit="1" customWidth="1"/>
  </cols>
  <sheetData>
    <row r="1" spans="1:3" ht="35.4" customHeight="1" x14ac:dyDescent="0.3">
      <c r="A1" s="4" t="s">
        <v>200</v>
      </c>
      <c r="B1" s="5" t="s">
        <v>201</v>
      </c>
      <c r="C1" s="7"/>
    </row>
    <row r="2" spans="1:3" x14ac:dyDescent="0.3">
      <c r="A2" s="6" t="s">
        <v>202</v>
      </c>
      <c r="B2" s="6" t="s">
        <v>203</v>
      </c>
      <c r="C2" s="6"/>
    </row>
    <row r="3" spans="1:3" x14ac:dyDescent="0.3">
      <c r="A3" s="6" t="s">
        <v>204</v>
      </c>
      <c r="B3" s="6">
        <f>COUNTIF('Audit Readiness Checklist'!H:H,"Ready")</f>
        <v>5</v>
      </c>
      <c r="C3" s="6" t="s">
        <v>205</v>
      </c>
    </row>
    <row r="4" spans="1:3" x14ac:dyDescent="0.3">
      <c r="A4" s="6" t="s">
        <v>33</v>
      </c>
      <c r="B4" s="6">
        <f>COUNTIF('Audit Readiness Checklist'!H:H,"Pending Verification")</f>
        <v>25</v>
      </c>
      <c r="C4" s="6" t="s">
        <v>206</v>
      </c>
    </row>
    <row r="5" spans="1:3" x14ac:dyDescent="0.3">
      <c r="A5" s="6" t="s">
        <v>207</v>
      </c>
      <c r="B5" s="6">
        <f>COUNTIF('Audit Readiness Checklist'!H:H,"Partially Ready")</f>
        <v>0</v>
      </c>
      <c r="C5" s="6" t="s">
        <v>208</v>
      </c>
    </row>
    <row r="6" spans="1:3" x14ac:dyDescent="0.3">
      <c r="A6" s="6" t="s">
        <v>209</v>
      </c>
      <c r="B6" s="6">
        <f>COUNTIF('Audit Readiness Checklist'!I:I,"Available")</f>
        <v>5</v>
      </c>
      <c r="C6" s="6" t="s">
        <v>210</v>
      </c>
    </row>
    <row r="7" spans="1:3" x14ac:dyDescent="0.3">
      <c r="A7" s="6" t="s">
        <v>211</v>
      </c>
      <c r="B7" s="6">
        <f>COUNTIF('Audit Readiness Checklist'!I:I,"Pending")</f>
        <v>25</v>
      </c>
      <c r="C7" s="6" t="s">
        <v>212</v>
      </c>
    </row>
    <row r="8" spans="1:3" x14ac:dyDescent="0.3">
      <c r="A8" s="6" t="s">
        <v>213</v>
      </c>
      <c r="B8" s="6" t="s">
        <v>214</v>
      </c>
      <c r="C8" s="6" t="s">
        <v>215</v>
      </c>
    </row>
    <row r="9" spans="1:3" x14ac:dyDescent="0.3">
      <c r="A9" s="6" t="s">
        <v>216</v>
      </c>
      <c r="B9" s="6" t="s">
        <v>217</v>
      </c>
      <c r="C9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16"/>
  <sheetViews>
    <sheetView workbookViewId="0">
      <selection activeCell="B12" sqref="A2:F16"/>
    </sheetView>
  </sheetViews>
  <sheetFormatPr defaultRowHeight="14.4" x14ac:dyDescent="0.3"/>
  <cols>
    <col min="1" max="1" width="14" customWidth="1"/>
    <col min="2" max="2" width="55" customWidth="1"/>
    <col min="3" max="3" width="28" customWidth="1"/>
    <col min="4" max="4" width="32" customWidth="1"/>
    <col min="5" max="5" width="65" customWidth="1"/>
    <col min="6" max="6" width="20" customWidth="1"/>
  </cols>
  <sheetData>
    <row r="1" spans="1:6" ht="34.799999999999997" customHeight="1" x14ac:dyDescent="0.3">
      <c r="A1" s="2" t="s">
        <v>218</v>
      </c>
      <c r="B1" s="2" t="s">
        <v>219</v>
      </c>
      <c r="C1" s="2" t="s">
        <v>220</v>
      </c>
      <c r="D1" s="2" t="s">
        <v>221</v>
      </c>
      <c r="E1" s="2" t="s">
        <v>222</v>
      </c>
      <c r="F1" s="2" t="s">
        <v>223</v>
      </c>
    </row>
    <row r="2" spans="1:6" x14ac:dyDescent="0.3">
      <c r="A2" s="3" t="s">
        <v>224</v>
      </c>
      <c r="B2" s="3" t="s">
        <v>225</v>
      </c>
      <c r="C2" s="3" t="s">
        <v>15</v>
      </c>
      <c r="D2" s="3" t="s">
        <v>17</v>
      </c>
      <c r="E2" s="3" t="s">
        <v>226</v>
      </c>
      <c r="F2" s="3" t="s">
        <v>34</v>
      </c>
    </row>
    <row r="3" spans="1:6" x14ac:dyDescent="0.3">
      <c r="A3" s="3" t="s">
        <v>227</v>
      </c>
      <c r="B3" s="3" t="s">
        <v>228</v>
      </c>
      <c r="C3" s="3" t="s">
        <v>15</v>
      </c>
      <c r="D3" s="3" t="s">
        <v>26</v>
      </c>
      <c r="E3" s="3" t="s">
        <v>229</v>
      </c>
      <c r="F3" s="3" t="s">
        <v>34</v>
      </c>
    </row>
    <row r="4" spans="1:6" x14ac:dyDescent="0.3">
      <c r="A4" s="3" t="s">
        <v>230</v>
      </c>
      <c r="B4" s="3" t="s">
        <v>231</v>
      </c>
      <c r="C4" s="3" t="s">
        <v>42</v>
      </c>
      <c r="D4" s="3" t="s">
        <v>44</v>
      </c>
      <c r="E4" s="3" t="s">
        <v>232</v>
      </c>
      <c r="F4" s="3" t="s">
        <v>34</v>
      </c>
    </row>
    <row r="5" spans="1:6" x14ac:dyDescent="0.3">
      <c r="A5" s="3" t="s">
        <v>233</v>
      </c>
      <c r="B5" s="3" t="s">
        <v>234</v>
      </c>
      <c r="C5" s="3" t="s">
        <v>48</v>
      </c>
      <c r="D5" s="3" t="s">
        <v>50</v>
      </c>
      <c r="E5" s="3" t="s">
        <v>235</v>
      </c>
      <c r="F5" s="3" t="s">
        <v>34</v>
      </c>
    </row>
    <row r="6" spans="1:6" x14ac:dyDescent="0.3">
      <c r="A6" s="3" t="s">
        <v>236</v>
      </c>
      <c r="B6" s="3" t="s">
        <v>237</v>
      </c>
      <c r="C6" s="3" t="s">
        <v>55</v>
      </c>
      <c r="D6" s="3" t="s">
        <v>57</v>
      </c>
      <c r="E6" s="3" t="s">
        <v>238</v>
      </c>
      <c r="F6" s="3" t="s">
        <v>34</v>
      </c>
    </row>
    <row r="7" spans="1:6" x14ac:dyDescent="0.3">
      <c r="A7" s="3" t="s">
        <v>239</v>
      </c>
      <c r="B7" s="3" t="s">
        <v>240</v>
      </c>
      <c r="C7" s="3" t="s">
        <v>241</v>
      </c>
      <c r="D7" s="3" t="s">
        <v>242</v>
      </c>
      <c r="E7" s="3" t="s">
        <v>243</v>
      </c>
      <c r="F7" s="3" t="s">
        <v>34</v>
      </c>
    </row>
    <row r="8" spans="1:6" x14ac:dyDescent="0.3">
      <c r="A8" s="3" t="s">
        <v>244</v>
      </c>
      <c r="B8" s="3" t="s">
        <v>245</v>
      </c>
      <c r="C8" s="3" t="s">
        <v>246</v>
      </c>
      <c r="D8" s="3" t="s">
        <v>247</v>
      </c>
      <c r="E8" s="3" t="s">
        <v>248</v>
      </c>
      <c r="F8" s="3" t="s">
        <v>34</v>
      </c>
    </row>
    <row r="9" spans="1:6" x14ac:dyDescent="0.3">
      <c r="A9" s="3" t="s">
        <v>249</v>
      </c>
      <c r="B9" s="3" t="s">
        <v>250</v>
      </c>
      <c r="C9" s="3" t="s">
        <v>87</v>
      </c>
      <c r="D9" s="3" t="s">
        <v>89</v>
      </c>
      <c r="E9" s="3" t="s">
        <v>251</v>
      </c>
      <c r="F9" s="3" t="s">
        <v>34</v>
      </c>
    </row>
    <row r="10" spans="1:6" x14ac:dyDescent="0.3">
      <c r="A10" s="3" t="s">
        <v>252</v>
      </c>
      <c r="B10" s="3" t="s">
        <v>253</v>
      </c>
      <c r="C10" s="3" t="s">
        <v>94</v>
      </c>
      <c r="D10" s="3" t="s">
        <v>96</v>
      </c>
      <c r="E10" s="3" t="s">
        <v>254</v>
      </c>
      <c r="F10" s="3" t="s">
        <v>34</v>
      </c>
    </row>
    <row r="11" spans="1:6" x14ac:dyDescent="0.3">
      <c r="A11" s="3" t="s">
        <v>255</v>
      </c>
      <c r="B11" s="3" t="s">
        <v>256</v>
      </c>
      <c r="C11" s="3" t="s">
        <v>257</v>
      </c>
      <c r="D11" s="3" t="s">
        <v>258</v>
      </c>
      <c r="E11" s="3" t="s">
        <v>259</v>
      </c>
      <c r="F11" s="3" t="s">
        <v>34</v>
      </c>
    </row>
    <row r="12" spans="1:6" x14ac:dyDescent="0.3">
      <c r="A12" s="3" t="s">
        <v>260</v>
      </c>
      <c r="B12" s="3" t="s">
        <v>261</v>
      </c>
      <c r="C12" s="3" t="s">
        <v>147</v>
      </c>
      <c r="D12" s="3" t="s">
        <v>262</v>
      </c>
      <c r="E12" s="3" t="s">
        <v>263</v>
      </c>
      <c r="F12" s="3" t="s">
        <v>34</v>
      </c>
    </row>
    <row r="13" spans="1:6" x14ac:dyDescent="0.3">
      <c r="A13" s="3" t="s">
        <v>264</v>
      </c>
      <c r="B13" s="3" t="s">
        <v>265</v>
      </c>
      <c r="C13" s="3" t="s">
        <v>112</v>
      </c>
      <c r="D13" s="3" t="s">
        <v>114</v>
      </c>
      <c r="E13" s="3" t="s">
        <v>266</v>
      </c>
      <c r="F13" s="3" t="s">
        <v>34</v>
      </c>
    </row>
    <row r="14" spans="1:6" x14ac:dyDescent="0.3">
      <c r="A14" s="3" t="s">
        <v>267</v>
      </c>
      <c r="B14" s="3" t="s">
        <v>268</v>
      </c>
      <c r="C14" s="3" t="s">
        <v>269</v>
      </c>
      <c r="D14" s="3" t="s">
        <v>270</v>
      </c>
      <c r="E14" s="3" t="s">
        <v>271</v>
      </c>
      <c r="F14" s="3" t="s">
        <v>34</v>
      </c>
    </row>
    <row r="15" spans="1:6" x14ac:dyDescent="0.3">
      <c r="A15" s="3" t="s">
        <v>272</v>
      </c>
      <c r="B15" s="3" t="s">
        <v>273</v>
      </c>
      <c r="C15" s="3" t="s">
        <v>160</v>
      </c>
      <c r="D15" s="3" t="s">
        <v>162</v>
      </c>
      <c r="E15" s="3" t="s">
        <v>274</v>
      </c>
      <c r="F15" s="3" t="s">
        <v>34</v>
      </c>
    </row>
    <row r="16" spans="1:6" x14ac:dyDescent="0.3">
      <c r="A16" s="3" t="s">
        <v>275</v>
      </c>
      <c r="B16" s="3" t="s">
        <v>276</v>
      </c>
      <c r="C16" s="3" t="s">
        <v>153</v>
      </c>
      <c r="D16" s="3" t="s">
        <v>155</v>
      </c>
      <c r="E16" s="3" t="s">
        <v>277</v>
      </c>
      <c r="F16" s="3" t="s">
        <v>34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13"/>
  <sheetViews>
    <sheetView tabSelected="1" workbookViewId="0">
      <selection activeCell="D18" sqref="D18"/>
    </sheetView>
  </sheetViews>
  <sheetFormatPr defaultRowHeight="14.4" x14ac:dyDescent="0.3"/>
  <cols>
    <col min="1" max="1" width="14" customWidth="1"/>
    <col min="2" max="2" width="24" customWidth="1"/>
    <col min="3" max="3" width="75" customWidth="1"/>
    <col min="4" max="4" width="65" customWidth="1"/>
  </cols>
  <sheetData>
    <row r="1" spans="1:4" ht="40.799999999999997" customHeight="1" x14ac:dyDescent="0.3">
      <c r="A1" s="8" t="s">
        <v>278</v>
      </c>
      <c r="B1" s="8" t="s">
        <v>279</v>
      </c>
      <c r="C1" s="8" t="s">
        <v>280</v>
      </c>
      <c r="D1" s="8" t="s">
        <v>281</v>
      </c>
    </row>
    <row r="2" spans="1:4" x14ac:dyDescent="0.3">
      <c r="A2" s="3" t="s">
        <v>282</v>
      </c>
      <c r="B2" s="3" t="s">
        <v>15</v>
      </c>
      <c r="C2" s="3" t="s">
        <v>283</v>
      </c>
      <c r="D2" s="3" t="s">
        <v>284</v>
      </c>
    </row>
    <row r="3" spans="1:4" x14ac:dyDescent="0.3">
      <c r="A3" s="3" t="s">
        <v>285</v>
      </c>
      <c r="B3" s="3" t="s">
        <v>286</v>
      </c>
      <c r="C3" s="3" t="s">
        <v>287</v>
      </c>
      <c r="D3" s="3" t="s">
        <v>288</v>
      </c>
    </row>
    <row r="4" spans="1:4" x14ac:dyDescent="0.3">
      <c r="A4" s="3" t="s">
        <v>289</v>
      </c>
      <c r="B4" s="3" t="s">
        <v>48</v>
      </c>
      <c r="C4" s="3" t="s">
        <v>290</v>
      </c>
      <c r="D4" s="3" t="s">
        <v>291</v>
      </c>
    </row>
    <row r="5" spans="1:4" x14ac:dyDescent="0.3">
      <c r="A5" s="3" t="s">
        <v>292</v>
      </c>
      <c r="B5" s="3" t="s">
        <v>293</v>
      </c>
      <c r="C5" s="3" t="s">
        <v>294</v>
      </c>
      <c r="D5" s="3" t="s">
        <v>69</v>
      </c>
    </row>
    <row r="6" spans="1:4" x14ac:dyDescent="0.3">
      <c r="A6" s="3" t="s">
        <v>295</v>
      </c>
      <c r="B6" s="3" t="s">
        <v>101</v>
      </c>
      <c r="C6" s="3" t="s">
        <v>296</v>
      </c>
      <c r="D6" s="3" t="s">
        <v>297</v>
      </c>
    </row>
    <row r="7" spans="1:4" x14ac:dyDescent="0.3">
      <c r="A7" s="3" t="s">
        <v>298</v>
      </c>
      <c r="B7" s="3" t="s">
        <v>136</v>
      </c>
      <c r="C7" s="3" t="s">
        <v>299</v>
      </c>
      <c r="D7" s="3" t="s">
        <v>138</v>
      </c>
    </row>
    <row r="8" spans="1:4" x14ac:dyDescent="0.3">
      <c r="A8" s="3" t="s">
        <v>300</v>
      </c>
      <c r="B8" s="3" t="s">
        <v>142</v>
      </c>
      <c r="C8" s="3" t="s">
        <v>301</v>
      </c>
      <c r="D8" s="3" t="s">
        <v>144</v>
      </c>
    </row>
    <row r="9" spans="1:4" x14ac:dyDescent="0.3">
      <c r="A9" s="3" t="s">
        <v>302</v>
      </c>
      <c r="B9" s="3" t="s">
        <v>147</v>
      </c>
      <c r="C9" s="3" t="s">
        <v>303</v>
      </c>
      <c r="D9" s="3" t="s">
        <v>304</v>
      </c>
    </row>
    <row r="10" spans="1:4" x14ac:dyDescent="0.3">
      <c r="A10" s="3" t="s">
        <v>305</v>
      </c>
      <c r="B10" s="3" t="s">
        <v>306</v>
      </c>
      <c r="C10" s="3" t="s">
        <v>307</v>
      </c>
      <c r="D10" s="3" t="s">
        <v>308</v>
      </c>
    </row>
    <row r="11" spans="1:4" x14ac:dyDescent="0.3">
      <c r="A11" s="3" t="s">
        <v>309</v>
      </c>
      <c r="B11" s="3" t="s">
        <v>112</v>
      </c>
      <c r="C11" s="3" t="s">
        <v>310</v>
      </c>
      <c r="D11" s="3" t="s">
        <v>114</v>
      </c>
    </row>
    <row r="12" spans="1:4" x14ac:dyDescent="0.3">
      <c r="A12" s="3" t="s">
        <v>311</v>
      </c>
      <c r="B12" s="3" t="s">
        <v>269</v>
      </c>
      <c r="C12" s="3" t="s">
        <v>312</v>
      </c>
      <c r="D12" s="3" t="s">
        <v>270</v>
      </c>
    </row>
    <row r="13" spans="1:4" x14ac:dyDescent="0.3">
      <c r="A13" s="3" t="s">
        <v>313</v>
      </c>
      <c r="B13" s="3" t="s">
        <v>160</v>
      </c>
      <c r="C13" s="3" t="s">
        <v>314</v>
      </c>
      <c r="D13" s="3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Audit Readiness Checklist</vt:lpstr>
      <vt:lpstr>Readiness Summary</vt:lpstr>
      <vt:lpstr>Audit Evidence Request</vt:lpstr>
      <vt:lpstr>Auditor Interview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2026-08-27T16:19:48Z</dcterms:created>
  <dcterms:modified xsi:type="dcterms:W3CDTF">2026-08-27T16:22:31Z</dcterms:modified>
</cp:coreProperties>
</file>