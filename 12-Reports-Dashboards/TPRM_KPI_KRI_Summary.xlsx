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3C85704E-A40F-4DE0-BB8C-DA7C875B1EB3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KPI KRI Summary" sheetId="1" r:id="rId1"/>
    <sheet name="KPI KRI Register" sheetId="2" r:id="rId2"/>
    <sheet name="Dashboard" sheetId="3" r:id="rId3"/>
    <sheet name="Definitions" sheetId="4" r:id="rId4"/>
    <sheet name="Management A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9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<sst xmlns="http://schemas.openxmlformats.org/spreadsheetml/2006/main" count="294" uniqueCount="205">
  <si>
    <t>TPRM KPI / KRI SUMMARY</t>
  </si>
  <si>
    <t>Mayekar Technologies Pvt. Ltd.</t>
  </si>
  <si>
    <t>Report ID</t>
  </si>
  <si>
    <t>TPRM-KPI-KRI-001</t>
  </si>
  <si>
    <t>Version</t>
  </si>
  <si>
    <t>1.0</t>
  </si>
  <si>
    <t>Status</t>
  </si>
  <si>
    <t>Portfolio / Simulated Evidence</t>
  </si>
  <si>
    <t>Purpose</t>
  </si>
  <si>
    <t>Define and summarize management KPIs and KRIs used to monitor third-party risk management performance and exposure.</t>
  </si>
  <si>
    <t>Scope</t>
  </si>
  <si>
    <t>TPRM-001 to TPRM-030 core TPRM framework.</t>
  </si>
  <si>
    <t>Important</t>
  </si>
  <si>
    <t>Metrics in this portfolio are simulated examples. In a real environment, values must be calculated from approved operational records and evidence.</t>
  </si>
  <si>
    <t>Metric ID</t>
  </si>
  <si>
    <t>Metric Type</t>
  </si>
  <si>
    <t>Metric Name</t>
  </si>
  <si>
    <t>Definition</t>
  </si>
  <si>
    <t>Calculation / Measurement</t>
  </si>
  <si>
    <t>Data Source</t>
  </si>
  <si>
    <t>Owner</t>
  </si>
  <si>
    <t>Frequency</t>
  </si>
  <si>
    <t>Target / Threshold</t>
  </si>
  <si>
    <t>Direction</t>
  </si>
  <si>
    <t>Current Value</t>
  </si>
  <si>
    <t>Unit</t>
  </si>
  <si>
    <t>RAG Status</t>
  </si>
  <si>
    <t>Management Interpretation</t>
  </si>
  <si>
    <t>Action Trigger</t>
  </si>
  <si>
    <t>KPI-001</t>
  </si>
  <si>
    <t>KPI</t>
  </si>
  <si>
    <t>Vendor Assessment Coverage</t>
  </si>
  <si>
    <t>Percentage of in-scope vendors with a completed current assessment.</t>
  </si>
  <si>
    <t>Assessed vendors / in-scope vendors × 100</t>
  </si>
  <si>
    <t>TPRM-007 / TPRM-018</t>
  </si>
  <si>
    <t>GRC Manager</t>
  </si>
  <si>
    <t>Monthly</t>
  </si>
  <si>
    <t>≥95%</t>
  </si>
  <si>
    <t>Higher is better</t>
  </si>
  <si>
    <t>%</t>
  </si>
  <si>
    <t>Green</t>
  </si>
  <si>
    <t>Assessment coverage is complete in the simulated portfolio.</t>
  </si>
  <si>
    <t>Investigate overdue assessments.</t>
  </si>
  <si>
    <t>KPI-002</t>
  </si>
  <si>
    <t>Due Diligence Completion</t>
  </si>
  <si>
    <t>Percentage of in-scope vendors with completed due diligence.</t>
  </si>
  <si>
    <t>Completed DD / in-scope vendors × 100</t>
  </si>
  <si>
    <t>TPRM-010 / TPRM-021</t>
  </si>
  <si>
    <t>Due diligence coverage is strong.</t>
  </si>
  <si>
    <t>Escalate overdue DD.</t>
  </si>
  <si>
    <t>KPI-003</t>
  </si>
  <si>
    <t>Risk Treatment Closure Rate</t>
  </si>
  <si>
    <t>Percentage of treatment actions closed within the reporting period.</t>
  </si>
  <si>
    <t>Closed actions / due actions × 100</t>
  </si>
  <si>
    <t>TPRM-017</t>
  </si>
  <si>
    <t>Risk Owner</t>
  </si>
  <si>
    <t>≥90%</t>
  </si>
  <si>
    <t>Amber</t>
  </si>
  <si>
    <t>Treatment closure requires improvement.</t>
  </si>
  <si>
    <t>Review overdue actions.</t>
  </si>
  <si>
    <t>KPI-004</t>
  </si>
  <si>
    <t>SLA Compliance Rate</t>
  </si>
  <si>
    <t>Percentage of measured SLA commitments achieved.</t>
  </si>
  <si>
    <t>Met SLA commitments / measured commitments × 100</t>
  </si>
  <si>
    <t>TPRM-014 / TPRM-028</t>
  </si>
  <si>
    <t>Vendor Manager</t>
  </si>
  <si>
    <t>Some SLA performance attention required.</t>
  </si>
  <si>
    <t>Review breaches and corrective actions.</t>
  </si>
  <si>
    <t>KPI-005</t>
  </si>
  <si>
    <t>Evidence Validation Completion</t>
  </si>
  <si>
    <t>Percentage of evidence records validated.</t>
  </si>
  <si>
    <t>Validated evidence / evidence records × 100</t>
  </si>
  <si>
    <t>Evidence Index / Validation Matrix</t>
  </si>
  <si>
    <t>GRC Analyst</t>
  </si>
  <si>
    <t>Red</t>
  </si>
  <si>
    <t>Evidence validation is pending in the portfolio.</t>
  </si>
  <si>
    <t>Complete evidence validation.</t>
  </si>
  <si>
    <t>KRI-001</t>
  </si>
  <si>
    <t>KRI</t>
  </si>
  <si>
    <t>Critical Residual-Risk Vendors</t>
  </si>
  <si>
    <t>Number of vendors with Critical residual risk.</t>
  </si>
  <si>
    <t>Count of Critical residual-risk vendors</t>
  </si>
  <si>
    <t>TPRM-007 / TPRM-009</t>
  </si>
  <si>
    <t>0</t>
  </si>
  <si>
    <t>Lower is better</t>
  </si>
  <si>
    <t>Vendors</t>
  </si>
  <si>
    <t>No simulated vendor is currently Critical residual risk.</t>
  </si>
  <si>
    <t>Escalate immediately if &gt;0.</t>
  </si>
  <si>
    <t>KRI-002</t>
  </si>
  <si>
    <t>High Residual-Risk Vendors</t>
  </si>
  <si>
    <t>Number of vendors with High residual risk.</t>
  </si>
  <si>
    <t>Count of High residual-risk vendors</t>
  </si>
  <si>
    <t>≤5</t>
  </si>
  <si>
    <t>High residual-risk population is within the example threshold.</t>
  </si>
  <si>
    <t>Review treatment status.</t>
  </si>
  <si>
    <t>KRI-003</t>
  </si>
  <si>
    <t>Open High/Critical Findings</t>
  </si>
  <si>
    <t>Open findings rated High or Critical.</t>
  </si>
  <si>
    <t>Count of open High/Critical findings</t>
  </si>
  <si>
    <t>TPRM-017 / TPRM-025</t>
  </si>
  <si>
    <t>≤3</t>
  </si>
  <si>
    <t>Findings</t>
  </si>
  <si>
    <t>Management attention required if trend increases.</t>
  </si>
  <si>
    <t>Escalate overdue findings.</t>
  </si>
  <si>
    <t>KRI-004</t>
  </si>
  <si>
    <t>Vendor Security Incidents</t>
  </si>
  <si>
    <t>Material vendor security incidents during reporting period.</t>
  </si>
  <si>
    <t>Count of material incidents</t>
  </si>
  <si>
    <t>TPRM-015 / TPRM-027</t>
  </si>
  <si>
    <t>Security Incident Owner</t>
  </si>
  <si>
    <t>Incidents</t>
  </si>
  <si>
    <t>No simulated material incident is recorded.</t>
  </si>
  <si>
    <t>Activate incident workflow if detected.</t>
  </si>
  <si>
    <t>KRI-005</t>
  </si>
  <si>
    <t>Overdue Vendor Reassessments</t>
  </si>
  <si>
    <t>Vendors past their required reassessment date.</t>
  </si>
  <si>
    <t>Count of overdue reassessments</t>
  </si>
  <si>
    <t>TPRM-018 / TPRM-021</t>
  </si>
  <si>
    <t>≤2</t>
  </si>
  <si>
    <t>Reassessment backlog is within example threshold.</t>
  </si>
  <si>
    <t>Escalate overdue reassessments.</t>
  </si>
  <si>
    <t>KRI-006</t>
  </si>
  <si>
    <t>Risk Acceptance Expiring</t>
  </si>
  <si>
    <t>Accepted residual risks approaching expiry.</t>
  </si>
  <si>
    <t>Count due within monitoring window</t>
  </si>
  <si>
    <t>TPRM-024</t>
  </si>
  <si>
    <t>Acceptances</t>
  </si>
  <si>
    <t>Acceptance renewals require timely review.</t>
  </si>
  <si>
    <t>Review before expiry.</t>
  </si>
  <si>
    <t>KRI-007</t>
  </si>
  <si>
    <t>BCDR Critical Findings</t>
  </si>
  <si>
    <t>Critical vendor resilience findings not remediated.</t>
  </si>
  <si>
    <t>Count of open critical BCDR findings</t>
  </si>
  <si>
    <t>TPRM-016 / TPRM-029</t>
  </si>
  <si>
    <t>BCM Owner</t>
  </si>
  <si>
    <t>Quarterly</t>
  </si>
  <si>
    <t>No simulated critical BCDR finding is open.</t>
  </si>
  <si>
    <t>Escalate and remediate.</t>
  </si>
  <si>
    <t>Dashboard Metric</t>
  </si>
  <si>
    <t>Value</t>
  </si>
  <si>
    <t>Management View</t>
  </si>
  <si>
    <t>KPI Metrics</t>
  </si>
  <si>
    <t>Performance indicators</t>
  </si>
  <si>
    <t>KRI Metrics</t>
  </si>
  <si>
    <t>Risk exposure indicators</t>
  </si>
  <si>
    <t>Average KPI Score</t>
  </si>
  <si>
    <t>Example numeric aggregation — interpret per unit carefully</t>
  </si>
  <si>
    <t>Should remain zero where risk appetite requires avoidance</t>
  </si>
  <si>
    <t>Monitor and treat</t>
  </si>
  <si>
    <t>Management attention</t>
  </si>
  <si>
    <t>Escalate material incidents</t>
  </si>
  <si>
    <t>Overdue Reassessments</t>
  </si>
  <si>
    <t>Maintain reassessment discipline</t>
  </si>
  <si>
    <t>Risk Acceptances Expiring</t>
  </si>
  <si>
    <t>Review before expiry</t>
  </si>
  <si>
    <t>Critical BCDR Findings</t>
  </si>
  <si>
    <t>Escalate if detected</t>
  </si>
  <si>
    <t>Type</t>
  </si>
  <si>
    <t>Term</t>
  </si>
  <si>
    <t>Meaning</t>
  </si>
  <si>
    <t>Example Management Use</t>
  </si>
  <si>
    <t>Key Performance Indicator</t>
  </si>
  <si>
    <t>Measures effectiveness or performance of a TPRM activity.</t>
  </si>
  <si>
    <t>Track assessment coverage, treatment closure, SLA compliance.</t>
  </si>
  <si>
    <t>Key Risk Indicator</t>
  </si>
  <si>
    <t>Signals increasing or unacceptable third-party risk exposure.</t>
  </si>
  <si>
    <t>Track high/critical residual risks, incidents, overdue reassessments.</t>
  </si>
  <si>
    <t>RAG</t>
  </si>
  <si>
    <t>Red / Amber / Green</t>
  </si>
  <si>
    <t>Visual status against target or threshold.</t>
  </si>
  <si>
    <t>Prioritize management attention.</t>
  </si>
  <si>
    <t>Target</t>
  </si>
  <si>
    <t>Desired performance/risk level</t>
  </si>
  <si>
    <t>Threshold used for management comparison.</t>
  </si>
  <si>
    <t>Set based on approved policy/risk appetite.</t>
  </si>
  <si>
    <t>Trend</t>
  </si>
  <si>
    <t>Change over time</t>
  </si>
  <si>
    <t>Shows whether a metric is improving or deteriorating.</t>
  </si>
  <si>
    <t>Use monthly/quarterly reporting.</t>
  </si>
  <si>
    <t>Action ID</t>
  </si>
  <si>
    <t>Trigger</t>
  </si>
  <si>
    <t>Action</t>
  </si>
  <si>
    <t>Reference</t>
  </si>
  <si>
    <t>ACT-001</t>
  </si>
  <si>
    <t>Critical residual risk &gt; 0</t>
  </si>
  <si>
    <t>Escalate to management and confirm treatment/acceptance decision.</t>
  </si>
  <si>
    <t>Risk Owner / Management</t>
  </si>
  <si>
    <t>Immediate</t>
  </si>
  <si>
    <t>Open</t>
  </si>
  <si>
    <t>TPRM-009 / TPRM-024 / TPRM-025</t>
  </si>
  <si>
    <t>ACT-002</t>
  </si>
  <si>
    <t>High/Critical finding overdue</t>
  </si>
  <si>
    <t>Review remediation plan and escalate where required.</t>
  </si>
  <si>
    <t>30 days</t>
  </si>
  <si>
    <t>ACT-003</t>
  </si>
  <si>
    <t>Assessment coverage &lt; target</t>
  </si>
  <si>
    <t>Complete overdue assessments and update review schedule.</t>
  </si>
  <si>
    <t>ACT-004</t>
  </si>
  <si>
    <t>Material vendor incident</t>
  </si>
  <si>
    <t>Activate vendor incident management and reassessment.</t>
  </si>
  <si>
    <t>Event Driven</t>
  </si>
  <si>
    <t>ACT-005</t>
  </si>
  <si>
    <t>Risk acceptance approaching expiry</t>
  </si>
  <si>
    <t>Reassess residual risk and renew, close or escalate acceptance.</t>
  </si>
  <si>
    <t>Before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</si>
</sst>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KPIKRIRegister" displayName="TPRMKPIKRIRegister" ref="A1:O13">
  <autoFilter ref="A1:O13" xr:uid="{00000000-0009-0000-0100-000001000000}"/>
  <tableColumns count="15">
    <tableColumn id="1" xr3:uid="{00000000-0010-0000-0000-000001000000}" name="Metric ID" dataDxfId="21"/>
    <tableColumn id="2" xr3:uid="{00000000-0010-0000-0000-000002000000}" name="Metric Type" dataDxfId="20"/>
    <tableColumn id="3" xr3:uid="{00000000-0010-0000-0000-000003000000}" name="Metric Name" dataDxfId="19"/>
    <tableColumn id="4" xr3:uid="{00000000-0010-0000-0000-000004000000}" name="Definition" dataDxfId="18"/>
    <tableColumn id="5" xr3:uid="{00000000-0010-0000-0000-000005000000}" name="Calculation / Measurement" dataDxfId="17"/>
    <tableColumn id="6" xr3:uid="{00000000-0010-0000-0000-000006000000}" name="Data Source" dataDxfId="16"/>
    <tableColumn id="7" xr3:uid="{00000000-0010-0000-0000-000007000000}" name="Owner" dataDxfId="15"/>
    <tableColumn id="8" xr3:uid="{00000000-0010-0000-0000-000008000000}" name="Frequency" dataDxfId="14"/>
    <tableColumn id="9" xr3:uid="{00000000-0010-0000-0000-000009000000}" name="Target / Threshold" dataDxfId="13"/>
    <tableColumn id="10" xr3:uid="{00000000-0010-0000-0000-00000A000000}" name="Direction" dataDxfId="12"/>
    <tableColumn id="11" xr3:uid="{00000000-0010-0000-0000-00000B000000}" name="Current Value" dataDxfId="11"/>
    <tableColumn id="12" xr3:uid="{00000000-0010-0000-0000-00000C000000}" name="Unit" dataDxfId="10"/>
    <tableColumn id="13" xr3:uid="{00000000-0010-0000-0000-00000D000000}" name="RAG Status" dataDxfId="9"/>
    <tableColumn id="14" xr3:uid="{00000000-0010-0000-0000-00000E000000}" name="Management Interpretation" dataDxfId="8"/>
    <tableColumn id="15" xr3:uid="{00000000-0010-0000-0000-00000F000000}" name="Action Trigger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RIManagementActions" displayName="KRIManagementActions" ref="A1:G6">
  <autoFilter ref="A1:G6" xr:uid="{00000000-0009-0000-0100-000002000000}"/>
  <tableColumns count="7">
    <tableColumn id="1" xr3:uid="{00000000-0010-0000-0100-000001000000}" name="Action ID" dataDxfId="6"/>
    <tableColumn id="2" xr3:uid="{00000000-0010-0000-0100-000002000000}" name="Trigger" dataDxfId="5"/>
    <tableColumn id="3" xr3:uid="{00000000-0010-0000-0100-000003000000}" name="Action" dataDxfId="4"/>
    <tableColumn id="4" xr3:uid="{00000000-0010-0000-0100-000004000000}" name="Owner" dataDxfId="3"/>
    <tableColumn id="5" xr3:uid="{00000000-0010-0000-0100-000005000000}" name="Target" dataDxfId="2"/>
    <tableColumn id="6" xr3:uid="{00000000-0010-0000-0100-000006000000}" name="Status" dataDxfId="1"/>
    <tableColumn id="7" xr3:uid="{00000000-0010-0000-0100-000007000000}" name="Refer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7"/>
  <sheetViews>
    <sheetView workbookViewId="0">
      <selection activeCell="B5" sqref="A1:B7"/>
    </sheetView>
  </sheetViews>
  <sheetFormatPr defaultRowHeight="14.4" x14ac:dyDescent="0.3"/>
  <cols>
    <col min="1" max="1" width="28" customWidth="1"/>
    <col min="2" max="2" width="115" customWidth="1"/>
  </cols>
  <sheetData>
    <row r="1" spans="1:2" ht="31.2" customHeight="1" x14ac:dyDescent="0.3">
      <c r="A1" s="3" t="s">
        <v>0</v>
      </c>
      <c r="B1" s="4" t="s">
        <v>1</v>
      </c>
    </row>
    <row r="2" spans="1:2" x14ac:dyDescent="0.3">
      <c r="A2" s="5" t="s">
        <v>2</v>
      </c>
      <c r="B2" s="5" t="s">
        <v>3</v>
      </c>
    </row>
    <row r="3" spans="1:2" x14ac:dyDescent="0.3">
      <c r="A3" s="5" t="s">
        <v>4</v>
      </c>
      <c r="B3" s="5" t="s">
        <v>5</v>
      </c>
    </row>
    <row r="4" spans="1:2" x14ac:dyDescent="0.3">
      <c r="A4" s="5" t="s">
        <v>6</v>
      </c>
      <c r="B4" s="5" t="s">
        <v>7</v>
      </c>
    </row>
    <row r="5" spans="1:2" x14ac:dyDescent="0.3">
      <c r="A5" s="5" t="s">
        <v>8</v>
      </c>
      <c r="B5" s="5" t="s">
        <v>9</v>
      </c>
    </row>
    <row r="6" spans="1:2" x14ac:dyDescent="0.3">
      <c r="A6" s="5" t="s">
        <v>10</v>
      </c>
      <c r="B6" s="5" t="s">
        <v>11</v>
      </c>
    </row>
    <row r="7" spans="1:2" ht="28.8" x14ac:dyDescent="0.3">
      <c r="A7" s="5" t="s">
        <v>12</v>
      </c>
      <c r="B7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O13"/>
  <sheetViews>
    <sheetView showGridLines="0" workbookViewId="0">
      <pane ySplit="1" topLeftCell="A2" activePane="bottomLeft" state="frozen"/>
      <selection pane="bottomLeft" activeCell="C5" sqref="A2:O13"/>
    </sheetView>
  </sheetViews>
  <sheetFormatPr defaultRowHeight="14.4" x14ac:dyDescent="0.3"/>
  <cols>
    <col min="1" max="1" width="15" customWidth="1"/>
    <col min="2" max="2" width="14" customWidth="1"/>
    <col min="3" max="3" width="30" customWidth="1"/>
    <col min="4" max="4" width="60" customWidth="1"/>
    <col min="5" max="5" width="55" customWidth="1"/>
    <col min="6" max="6" width="35" customWidth="1"/>
    <col min="7" max="7" width="24" customWidth="1"/>
    <col min="8" max="8" width="18" customWidth="1"/>
    <col min="9" max="9" width="22" customWidth="1"/>
    <col min="10" max="10" width="20" customWidth="1"/>
    <col min="11" max="13" width="16" customWidth="1"/>
    <col min="14" max="14" width="55" customWidth="1"/>
    <col min="15" max="15" width="45" customWidth="1"/>
  </cols>
  <sheetData>
    <row r="1" spans="1:15" ht="48" customHeight="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3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>
        <v>100</v>
      </c>
      <c r="L2" s="5" t="s">
        <v>39</v>
      </c>
      <c r="M2" s="5" t="s">
        <v>40</v>
      </c>
      <c r="N2" s="5" t="s">
        <v>41</v>
      </c>
      <c r="O2" s="5" t="s">
        <v>42</v>
      </c>
    </row>
    <row r="3" spans="1:15" x14ac:dyDescent="0.3">
      <c r="A3" s="5" t="s">
        <v>43</v>
      </c>
      <c r="B3" s="5" t="s">
        <v>30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35</v>
      </c>
      <c r="H3" s="5" t="s">
        <v>36</v>
      </c>
      <c r="I3" s="5" t="s">
        <v>37</v>
      </c>
      <c r="J3" s="5" t="s">
        <v>38</v>
      </c>
      <c r="K3" s="5">
        <v>96</v>
      </c>
      <c r="L3" s="5" t="s">
        <v>39</v>
      </c>
      <c r="M3" s="5" t="s">
        <v>40</v>
      </c>
      <c r="N3" s="5" t="s">
        <v>48</v>
      </c>
      <c r="O3" s="5" t="s">
        <v>49</v>
      </c>
    </row>
    <row r="4" spans="1:15" x14ac:dyDescent="0.3">
      <c r="A4" s="5" t="s">
        <v>50</v>
      </c>
      <c r="B4" s="5" t="s">
        <v>30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36</v>
      </c>
      <c r="I4" s="5" t="s">
        <v>56</v>
      </c>
      <c r="J4" s="5" t="s">
        <v>38</v>
      </c>
      <c r="K4" s="5">
        <v>88</v>
      </c>
      <c r="L4" s="5" t="s">
        <v>39</v>
      </c>
      <c r="M4" s="5" t="s">
        <v>57</v>
      </c>
      <c r="N4" s="5" t="s">
        <v>58</v>
      </c>
      <c r="O4" s="5" t="s">
        <v>59</v>
      </c>
    </row>
    <row r="5" spans="1:15" x14ac:dyDescent="0.3">
      <c r="A5" s="5" t="s">
        <v>60</v>
      </c>
      <c r="B5" s="5" t="s">
        <v>30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 t="s">
        <v>36</v>
      </c>
      <c r="I5" s="5" t="s">
        <v>37</v>
      </c>
      <c r="J5" s="5" t="s">
        <v>38</v>
      </c>
      <c r="K5" s="5">
        <v>94</v>
      </c>
      <c r="L5" s="5" t="s">
        <v>39</v>
      </c>
      <c r="M5" s="5" t="s">
        <v>57</v>
      </c>
      <c r="N5" s="5" t="s">
        <v>66</v>
      </c>
      <c r="O5" s="5" t="s">
        <v>67</v>
      </c>
    </row>
    <row r="6" spans="1:15" x14ac:dyDescent="0.3">
      <c r="A6" s="5" t="s">
        <v>68</v>
      </c>
      <c r="B6" s="5" t="s">
        <v>30</v>
      </c>
      <c r="C6" s="5" t="s">
        <v>69</v>
      </c>
      <c r="D6" s="5" t="s">
        <v>70</v>
      </c>
      <c r="E6" s="5" t="s">
        <v>71</v>
      </c>
      <c r="F6" s="5" t="s">
        <v>72</v>
      </c>
      <c r="G6" s="5" t="s">
        <v>73</v>
      </c>
      <c r="H6" s="5" t="s">
        <v>36</v>
      </c>
      <c r="I6" s="5" t="s">
        <v>37</v>
      </c>
      <c r="J6" s="5" t="s">
        <v>38</v>
      </c>
      <c r="K6" s="5">
        <v>0</v>
      </c>
      <c r="L6" s="5" t="s">
        <v>39</v>
      </c>
      <c r="M6" s="5" t="s">
        <v>74</v>
      </c>
      <c r="N6" s="5" t="s">
        <v>75</v>
      </c>
      <c r="O6" s="5" t="s">
        <v>76</v>
      </c>
    </row>
    <row r="7" spans="1:15" x14ac:dyDescent="0.3">
      <c r="A7" s="5" t="s">
        <v>77</v>
      </c>
      <c r="B7" s="5" t="s">
        <v>78</v>
      </c>
      <c r="C7" s="5" t="s">
        <v>79</v>
      </c>
      <c r="D7" s="5" t="s">
        <v>80</v>
      </c>
      <c r="E7" s="5" t="s">
        <v>81</v>
      </c>
      <c r="F7" s="5" t="s">
        <v>82</v>
      </c>
      <c r="G7" s="5" t="s">
        <v>55</v>
      </c>
      <c r="H7" s="5" t="s">
        <v>36</v>
      </c>
      <c r="I7" s="5" t="s">
        <v>83</v>
      </c>
      <c r="J7" s="5" t="s">
        <v>84</v>
      </c>
      <c r="K7" s="5">
        <v>0</v>
      </c>
      <c r="L7" s="5" t="s">
        <v>85</v>
      </c>
      <c r="M7" s="5" t="s">
        <v>40</v>
      </c>
      <c r="N7" s="5" t="s">
        <v>86</v>
      </c>
      <c r="O7" s="5" t="s">
        <v>87</v>
      </c>
    </row>
    <row r="8" spans="1:15" x14ac:dyDescent="0.3">
      <c r="A8" s="5" t="s">
        <v>88</v>
      </c>
      <c r="B8" s="5" t="s">
        <v>78</v>
      </c>
      <c r="C8" s="5" t="s">
        <v>89</v>
      </c>
      <c r="D8" s="5" t="s">
        <v>90</v>
      </c>
      <c r="E8" s="5" t="s">
        <v>91</v>
      </c>
      <c r="F8" s="5" t="s">
        <v>82</v>
      </c>
      <c r="G8" s="5" t="s">
        <v>55</v>
      </c>
      <c r="H8" s="5" t="s">
        <v>36</v>
      </c>
      <c r="I8" s="5" t="s">
        <v>92</v>
      </c>
      <c r="J8" s="5" t="s">
        <v>84</v>
      </c>
      <c r="K8" s="5">
        <v>4</v>
      </c>
      <c r="L8" s="5" t="s">
        <v>85</v>
      </c>
      <c r="M8" s="5" t="s">
        <v>40</v>
      </c>
      <c r="N8" s="5" t="s">
        <v>93</v>
      </c>
      <c r="O8" s="5" t="s">
        <v>94</v>
      </c>
    </row>
    <row r="9" spans="1:15" x14ac:dyDescent="0.3">
      <c r="A9" s="5" t="s">
        <v>95</v>
      </c>
      <c r="B9" s="5" t="s">
        <v>78</v>
      </c>
      <c r="C9" s="5" t="s">
        <v>96</v>
      </c>
      <c r="D9" s="5" t="s">
        <v>97</v>
      </c>
      <c r="E9" s="5" t="s">
        <v>98</v>
      </c>
      <c r="F9" s="5" t="s">
        <v>99</v>
      </c>
      <c r="G9" s="5" t="s">
        <v>35</v>
      </c>
      <c r="H9" s="5" t="s">
        <v>36</v>
      </c>
      <c r="I9" s="5" t="s">
        <v>100</v>
      </c>
      <c r="J9" s="5" t="s">
        <v>84</v>
      </c>
      <c r="K9" s="5">
        <v>3</v>
      </c>
      <c r="L9" s="5" t="s">
        <v>101</v>
      </c>
      <c r="M9" s="5" t="s">
        <v>57</v>
      </c>
      <c r="N9" s="5" t="s">
        <v>102</v>
      </c>
      <c r="O9" s="5" t="s">
        <v>103</v>
      </c>
    </row>
    <row r="10" spans="1:15" x14ac:dyDescent="0.3">
      <c r="A10" s="5" t="s">
        <v>104</v>
      </c>
      <c r="B10" s="5" t="s">
        <v>78</v>
      </c>
      <c r="C10" s="5" t="s">
        <v>105</v>
      </c>
      <c r="D10" s="5" t="s">
        <v>106</v>
      </c>
      <c r="E10" s="5" t="s">
        <v>107</v>
      </c>
      <c r="F10" s="5" t="s">
        <v>108</v>
      </c>
      <c r="G10" s="5" t="s">
        <v>109</v>
      </c>
      <c r="H10" s="5" t="s">
        <v>36</v>
      </c>
      <c r="I10" s="5" t="s">
        <v>83</v>
      </c>
      <c r="J10" s="5" t="s">
        <v>84</v>
      </c>
      <c r="K10" s="5">
        <v>0</v>
      </c>
      <c r="L10" s="5" t="s">
        <v>110</v>
      </c>
      <c r="M10" s="5" t="s">
        <v>40</v>
      </c>
      <c r="N10" s="5" t="s">
        <v>111</v>
      </c>
      <c r="O10" s="5" t="s">
        <v>112</v>
      </c>
    </row>
    <row r="11" spans="1:15" x14ac:dyDescent="0.3">
      <c r="A11" s="5" t="s">
        <v>113</v>
      </c>
      <c r="B11" s="5" t="s">
        <v>78</v>
      </c>
      <c r="C11" s="5" t="s">
        <v>114</v>
      </c>
      <c r="D11" s="5" t="s">
        <v>115</v>
      </c>
      <c r="E11" s="5" t="s">
        <v>116</v>
      </c>
      <c r="F11" s="5" t="s">
        <v>117</v>
      </c>
      <c r="G11" s="5" t="s">
        <v>73</v>
      </c>
      <c r="H11" s="5" t="s">
        <v>36</v>
      </c>
      <c r="I11" s="5" t="s">
        <v>118</v>
      </c>
      <c r="J11" s="5" t="s">
        <v>84</v>
      </c>
      <c r="K11" s="5">
        <v>1</v>
      </c>
      <c r="L11" s="5" t="s">
        <v>85</v>
      </c>
      <c r="M11" s="5" t="s">
        <v>40</v>
      </c>
      <c r="N11" s="5" t="s">
        <v>119</v>
      </c>
      <c r="O11" s="5" t="s">
        <v>120</v>
      </c>
    </row>
    <row r="12" spans="1:15" x14ac:dyDescent="0.3">
      <c r="A12" s="5" t="s">
        <v>121</v>
      </c>
      <c r="B12" s="5" t="s">
        <v>78</v>
      </c>
      <c r="C12" s="5" t="s">
        <v>122</v>
      </c>
      <c r="D12" s="5" t="s">
        <v>123</v>
      </c>
      <c r="E12" s="5" t="s">
        <v>124</v>
      </c>
      <c r="F12" s="5" t="s">
        <v>125</v>
      </c>
      <c r="G12" s="5" t="s">
        <v>55</v>
      </c>
      <c r="H12" s="5" t="s">
        <v>36</v>
      </c>
      <c r="I12" s="5" t="s">
        <v>118</v>
      </c>
      <c r="J12" s="5" t="s">
        <v>84</v>
      </c>
      <c r="K12" s="5">
        <v>1</v>
      </c>
      <c r="L12" s="5" t="s">
        <v>126</v>
      </c>
      <c r="M12" s="5" t="s">
        <v>40</v>
      </c>
      <c r="N12" s="5" t="s">
        <v>127</v>
      </c>
      <c r="O12" s="5" t="s">
        <v>128</v>
      </c>
    </row>
    <row r="13" spans="1:15" x14ac:dyDescent="0.3">
      <c r="A13" s="5" t="s">
        <v>129</v>
      </c>
      <c r="B13" s="5" t="s">
        <v>78</v>
      </c>
      <c r="C13" s="5" t="s">
        <v>130</v>
      </c>
      <c r="D13" s="5" t="s">
        <v>131</v>
      </c>
      <c r="E13" s="5" t="s">
        <v>132</v>
      </c>
      <c r="F13" s="5" t="s">
        <v>133</v>
      </c>
      <c r="G13" s="5" t="s">
        <v>134</v>
      </c>
      <c r="H13" s="5" t="s">
        <v>135</v>
      </c>
      <c r="I13" s="5" t="s">
        <v>83</v>
      </c>
      <c r="J13" s="5" t="s">
        <v>84</v>
      </c>
      <c r="K13" s="5">
        <v>0</v>
      </c>
      <c r="L13" s="5" t="s">
        <v>101</v>
      </c>
      <c r="M13" s="5" t="s">
        <v>40</v>
      </c>
      <c r="N13" s="5" t="s">
        <v>136</v>
      </c>
      <c r="O13" s="5" t="s">
        <v>137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D11"/>
  <sheetViews>
    <sheetView workbookViewId="0">
      <selection activeCell="B11" sqref="A1:D11"/>
    </sheetView>
  </sheetViews>
  <sheetFormatPr defaultRowHeight="14.4" x14ac:dyDescent="0.3"/>
  <cols>
    <col min="1" max="1" width="38" customWidth="1"/>
    <col min="2" max="2" width="24" customWidth="1"/>
    <col min="3" max="3" width="18" customWidth="1"/>
    <col min="4" max="4" width="75" customWidth="1"/>
  </cols>
  <sheetData>
    <row r="1" spans="1:4" ht="29.4" customHeight="1" x14ac:dyDescent="0.3">
      <c r="A1" s="6" t="s">
        <v>138</v>
      </c>
      <c r="B1" s="6" t="s">
        <v>139</v>
      </c>
      <c r="C1" s="6" t="s">
        <v>6</v>
      </c>
      <c r="D1" s="6" t="s">
        <v>140</v>
      </c>
    </row>
    <row r="2" spans="1:4" x14ac:dyDescent="0.3">
      <c r="A2" s="5" t="s">
        <v>141</v>
      </c>
      <c r="B2" s="5">
        <v>5</v>
      </c>
      <c r="C2" s="5"/>
      <c r="D2" s="5" t="s">
        <v>142</v>
      </c>
    </row>
    <row r="3" spans="1:4" x14ac:dyDescent="0.3">
      <c r="A3" s="5" t="s">
        <v>143</v>
      </c>
      <c r="B3" s="5">
        <v>7</v>
      </c>
      <c r="C3" s="5"/>
      <c r="D3" s="5" t="s">
        <v>144</v>
      </c>
    </row>
    <row r="4" spans="1:4" x14ac:dyDescent="0.3">
      <c r="A4" s="5" t="s">
        <v>145</v>
      </c>
      <c r="B4" s="5">
        <f>AVERAGE('KPI KRI Register'!K2:K6)</f>
        <v>75.599999999999994</v>
      </c>
      <c r="C4" s="5"/>
      <c r="D4" s="5" t="s">
        <v>146</v>
      </c>
    </row>
    <row r="5" spans="1:4" x14ac:dyDescent="0.3">
      <c r="A5" s="5" t="s">
        <v>79</v>
      </c>
      <c r="B5" s="5">
        <f t="shared" ref="B5:B11" si="0">K7</f>
        <v>0</v>
      </c>
      <c r="C5" s="5" t="s">
        <v>40</v>
      </c>
      <c r="D5" s="5" t="s">
        <v>147</v>
      </c>
    </row>
    <row r="6" spans="1:4" x14ac:dyDescent="0.3">
      <c r="A6" s="5" t="s">
        <v>89</v>
      </c>
      <c r="B6" s="5">
        <f t="shared" si="0"/>
        <v>0</v>
      </c>
      <c r="C6" s="5" t="s">
        <v>40</v>
      </c>
      <c r="D6" s="5" t="s">
        <v>148</v>
      </c>
    </row>
    <row r="7" spans="1:4" x14ac:dyDescent="0.3">
      <c r="A7" s="5" t="s">
        <v>96</v>
      </c>
      <c r="B7" s="5">
        <f t="shared" si="0"/>
        <v>0</v>
      </c>
      <c r="C7" s="5" t="s">
        <v>57</v>
      </c>
      <c r="D7" s="5" t="s">
        <v>149</v>
      </c>
    </row>
    <row r="8" spans="1:4" x14ac:dyDescent="0.3">
      <c r="A8" s="5" t="s">
        <v>105</v>
      </c>
      <c r="B8" s="5">
        <f t="shared" si="0"/>
        <v>0</v>
      </c>
      <c r="C8" s="5" t="s">
        <v>40</v>
      </c>
      <c r="D8" s="5" t="s">
        <v>150</v>
      </c>
    </row>
    <row r="9" spans="1:4" x14ac:dyDescent="0.3">
      <c r="A9" s="5" t="s">
        <v>151</v>
      </c>
      <c r="B9" s="5">
        <f t="shared" si="0"/>
        <v>0</v>
      </c>
      <c r="C9" s="5" t="s">
        <v>40</v>
      </c>
      <c r="D9" s="5" t="s">
        <v>152</v>
      </c>
    </row>
    <row r="10" spans="1:4" x14ac:dyDescent="0.3">
      <c r="A10" s="5" t="s">
        <v>153</v>
      </c>
      <c r="B10" s="5">
        <f t="shared" si="0"/>
        <v>0</v>
      </c>
      <c r="C10" s="5" t="s">
        <v>40</v>
      </c>
      <c r="D10" s="5" t="s">
        <v>154</v>
      </c>
    </row>
    <row r="11" spans="1:4" x14ac:dyDescent="0.3">
      <c r="A11" s="5" t="s">
        <v>155</v>
      </c>
      <c r="B11" s="5">
        <f t="shared" si="0"/>
        <v>0</v>
      </c>
      <c r="C11" s="5" t="s">
        <v>40</v>
      </c>
      <c r="D11" s="5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6"/>
  <sheetViews>
    <sheetView workbookViewId="0">
      <selection activeCell="B10" sqref="B10"/>
    </sheetView>
  </sheetViews>
  <sheetFormatPr defaultRowHeight="14.4" x14ac:dyDescent="0.3"/>
  <cols>
    <col min="1" max="1" width="14" customWidth="1"/>
    <col min="2" max="2" width="28" customWidth="1"/>
    <col min="3" max="3" width="65" customWidth="1"/>
    <col min="4" max="4" width="70" customWidth="1"/>
  </cols>
  <sheetData>
    <row r="1" spans="1:4" ht="27" customHeight="1" x14ac:dyDescent="0.3">
      <c r="A1" s="6" t="s">
        <v>157</v>
      </c>
      <c r="B1" s="6" t="s">
        <v>158</v>
      </c>
      <c r="C1" s="6" t="s">
        <v>159</v>
      </c>
      <c r="D1" s="6" t="s">
        <v>160</v>
      </c>
    </row>
    <row r="2" spans="1:4" x14ac:dyDescent="0.3">
      <c r="A2" s="5" t="s">
        <v>30</v>
      </c>
      <c r="B2" s="5" t="s">
        <v>161</v>
      </c>
      <c r="C2" s="5" t="s">
        <v>162</v>
      </c>
      <c r="D2" s="5" t="s">
        <v>163</v>
      </c>
    </row>
    <row r="3" spans="1:4" x14ac:dyDescent="0.3">
      <c r="A3" s="5" t="s">
        <v>78</v>
      </c>
      <c r="B3" s="5" t="s">
        <v>164</v>
      </c>
      <c r="C3" s="5" t="s">
        <v>165</v>
      </c>
      <c r="D3" s="5" t="s">
        <v>166</v>
      </c>
    </row>
    <row r="4" spans="1:4" x14ac:dyDescent="0.3">
      <c r="A4" s="5" t="s">
        <v>167</v>
      </c>
      <c r="B4" s="5" t="s">
        <v>168</v>
      </c>
      <c r="C4" s="5" t="s">
        <v>169</v>
      </c>
      <c r="D4" s="5" t="s">
        <v>170</v>
      </c>
    </row>
    <row r="5" spans="1:4" x14ac:dyDescent="0.3">
      <c r="A5" s="5" t="s">
        <v>171</v>
      </c>
      <c r="B5" s="5" t="s">
        <v>172</v>
      </c>
      <c r="C5" s="5" t="s">
        <v>173</v>
      </c>
      <c r="D5" s="5" t="s">
        <v>174</v>
      </c>
    </row>
    <row r="6" spans="1:4" x14ac:dyDescent="0.3">
      <c r="A6" s="5" t="s">
        <v>175</v>
      </c>
      <c r="B6" s="5" t="s">
        <v>176</v>
      </c>
      <c r="C6" s="5" t="s">
        <v>177</v>
      </c>
      <c r="D6" s="5" t="s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G6"/>
  <sheetViews>
    <sheetView tabSelected="1" workbookViewId="0">
      <selection activeCell="E17" sqref="E17"/>
    </sheetView>
  </sheetViews>
  <sheetFormatPr defaultRowHeight="14.4" x14ac:dyDescent="0.3"/>
  <cols>
    <col min="1" max="1" width="14" customWidth="1"/>
    <col min="2" max="2" width="40" customWidth="1"/>
    <col min="3" max="3" width="70" customWidth="1"/>
    <col min="4" max="4" width="28" customWidth="1"/>
    <col min="5" max="5" width="20" customWidth="1"/>
    <col min="6" max="6" width="18" customWidth="1"/>
    <col min="7" max="7" width="38" customWidth="1"/>
  </cols>
  <sheetData>
    <row r="1" spans="1:7" ht="25.8" customHeight="1" x14ac:dyDescent="0.3">
      <c r="A1" s="2" t="s">
        <v>179</v>
      </c>
      <c r="B1" s="2" t="s">
        <v>180</v>
      </c>
      <c r="C1" s="2" t="s">
        <v>181</v>
      </c>
      <c r="D1" s="2" t="s">
        <v>20</v>
      </c>
      <c r="E1" s="2" t="s">
        <v>171</v>
      </c>
      <c r="F1" s="2" t="s">
        <v>6</v>
      </c>
      <c r="G1" s="2" t="s">
        <v>182</v>
      </c>
    </row>
    <row r="2" spans="1:7" x14ac:dyDescent="0.3">
      <c r="A2" s="5" t="s">
        <v>183</v>
      </c>
      <c r="B2" s="5" t="s">
        <v>184</v>
      </c>
      <c r="C2" s="5" t="s">
        <v>185</v>
      </c>
      <c r="D2" s="5" t="s">
        <v>186</v>
      </c>
      <c r="E2" s="5" t="s">
        <v>187</v>
      </c>
      <c r="F2" s="5" t="s">
        <v>188</v>
      </c>
      <c r="G2" s="5" t="s">
        <v>189</v>
      </c>
    </row>
    <row r="3" spans="1:7" x14ac:dyDescent="0.3">
      <c r="A3" s="5" t="s">
        <v>190</v>
      </c>
      <c r="B3" s="5" t="s">
        <v>191</v>
      </c>
      <c r="C3" s="5" t="s">
        <v>192</v>
      </c>
      <c r="D3" s="5" t="s">
        <v>35</v>
      </c>
      <c r="E3" s="5" t="s">
        <v>193</v>
      </c>
      <c r="F3" s="5" t="s">
        <v>188</v>
      </c>
      <c r="G3" s="5" t="s">
        <v>99</v>
      </c>
    </row>
    <row r="4" spans="1:7" x14ac:dyDescent="0.3">
      <c r="A4" s="5" t="s">
        <v>194</v>
      </c>
      <c r="B4" s="5" t="s">
        <v>195</v>
      </c>
      <c r="C4" s="5" t="s">
        <v>196</v>
      </c>
      <c r="D4" s="5" t="s">
        <v>73</v>
      </c>
      <c r="E4" s="5" t="s">
        <v>193</v>
      </c>
      <c r="F4" s="5" t="s">
        <v>188</v>
      </c>
      <c r="G4" s="5" t="s">
        <v>34</v>
      </c>
    </row>
    <row r="5" spans="1:7" x14ac:dyDescent="0.3">
      <c r="A5" s="5" t="s">
        <v>197</v>
      </c>
      <c r="B5" s="5" t="s">
        <v>198</v>
      </c>
      <c r="C5" s="5" t="s">
        <v>199</v>
      </c>
      <c r="D5" s="5" t="s">
        <v>109</v>
      </c>
      <c r="E5" s="5" t="s">
        <v>200</v>
      </c>
      <c r="F5" s="5" t="s">
        <v>188</v>
      </c>
      <c r="G5" s="5" t="s">
        <v>108</v>
      </c>
    </row>
    <row r="6" spans="1:7" x14ac:dyDescent="0.3">
      <c r="A6" s="5" t="s">
        <v>201</v>
      </c>
      <c r="B6" s="5" t="s">
        <v>202</v>
      </c>
      <c r="C6" s="5" t="s">
        <v>203</v>
      </c>
      <c r="D6" s="5" t="s">
        <v>55</v>
      </c>
      <c r="E6" s="5" t="s">
        <v>204</v>
      </c>
      <c r="F6" s="5" t="s">
        <v>188</v>
      </c>
      <c r="G6" s="5" t="s">
        <v>125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KRI Summary</vt:lpstr>
      <vt:lpstr>KPI KRI Register</vt:lpstr>
      <vt:lpstr>Dashboard</vt:lpstr>
      <vt:lpstr>Definitions</vt:lpstr>
      <vt:lpstr>Management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2026-08-27T15:42:15Z</dcterms:created>
  <dcterms:modified xsi:type="dcterms:W3CDTF">2026-08-27T15:46:05Z</dcterms:modified>
</cp:coreProperties>
</file>