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4E6EB694-C3D5-44B2-A7A5-A3D2A330F4A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vidence Index" sheetId="1" r:id="rId1"/>
    <sheet name="Evidence Summary" sheetId="2" r:id="rId2"/>
    <sheet name="Evidence Methodology" sheetId="3" r:id="rId3"/>
    <sheet name="Data Diction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<sst xmlns="http://schemas.openxmlformats.org/spreadsheetml/2006/main" count="836" uniqueCount="352">
  <si>
    <t>Evidence ID</t>
  </si>
  <si>
    <t>TPRM Document ID</t>
  </si>
  <si>
    <t>TPRM Activity</t>
  </si>
  <si>
    <t>Evidence Category</t>
  </si>
  <si>
    <t>Evidence Type</t>
  </si>
  <si>
    <t>Evidence Title / Description</t>
  </si>
  <si>
    <t>Vendor ID</t>
  </si>
  <si>
    <t>Vendor Name</t>
  </si>
  <si>
    <t>Related Control / Requirement</t>
  </si>
  <si>
    <t>Evidence Source</t>
  </si>
  <si>
    <t>Evidence Date</t>
  </si>
  <si>
    <t>Review Date</t>
  </si>
  <si>
    <t>Currency</t>
  </si>
  <si>
    <t>Relevance</t>
  </si>
  <si>
    <t>Completeness</t>
  </si>
  <si>
    <t>Authenticity / Reliability</t>
  </si>
  <si>
    <t>Traceability</t>
  </si>
  <si>
    <t>Evidence Status</t>
  </si>
  <si>
    <t>Reviewer</t>
  </si>
  <si>
    <t>Finding / Gap</t>
  </si>
  <si>
    <t>Corrective Action</t>
  </si>
  <si>
    <t>Validation Status</t>
  </si>
  <si>
    <t>Closure Date</t>
  </si>
  <si>
    <t>Confidentiality</t>
  </si>
  <si>
    <t>Storage Location / Reference</t>
  </si>
  <si>
    <t>Comments</t>
  </si>
  <si>
    <t>EVID-0001</t>
  </si>
  <si>
    <t>TPRM-001</t>
  </si>
  <si>
    <t>TPRM Governance</t>
  </si>
  <si>
    <t>Governance</t>
  </si>
  <si>
    <t>Program Charter / Approval</t>
  </si>
  <si>
    <t>Simulated evidence record for TPRM Governance — evidence to be collected/validated.</t>
  </si>
  <si>
    <t>VND-001</t>
  </si>
  <si>
    <t>Portfolio Vendor 01</t>
  </si>
  <si>
    <t>Related control / requirement for TPRM Governance</t>
  </si>
  <si>
    <t>Portfolio / Simulated Source</t>
  </si>
  <si>
    <t>2026-08-25</t>
  </si>
  <si>
    <t>Pending</t>
  </si>
  <si>
    <t>GRC Analyst</t>
  </si>
  <si>
    <t>Define action after review</t>
  </si>
  <si>
    <t>Internal / Confidential</t>
  </si>
  <si>
    <t>/15-Evidence/TPRM-001</t>
  </si>
  <si>
    <t>No real vendor confidential information.</t>
  </si>
  <si>
    <t>EVID-0002</t>
  </si>
  <si>
    <t>TPRM-002</t>
  </si>
  <si>
    <t>Roles &amp; Responsibilities</t>
  </si>
  <si>
    <t>RACI / Responsibility Matrix</t>
  </si>
  <si>
    <t>Simulated evidence record for Roles &amp; Responsibilities — evidence to be collected/validated.</t>
  </si>
  <si>
    <t>VND-002</t>
  </si>
  <si>
    <t>Portfolio Vendor 02</t>
  </si>
  <si>
    <t>Related control / requirement for Roles &amp; Responsibilities</t>
  </si>
  <si>
    <t>/15-Evidence/TPRM-002</t>
  </si>
  <si>
    <t>EVID-0003</t>
  </si>
  <si>
    <t>TPRM-003</t>
  </si>
  <si>
    <t>TPRM Policy</t>
  </si>
  <si>
    <t>Approved Policy</t>
  </si>
  <si>
    <t>Simulated evidence record for TPRM Policy — evidence to be collected/validated.</t>
  </si>
  <si>
    <t>VND-003</t>
  </si>
  <si>
    <t>Portfolio Vendor 03</t>
  </si>
  <si>
    <t>Related control / requirement for TPRM Policy</t>
  </si>
  <si>
    <t>/15-Evidence/TPRM-003</t>
  </si>
  <si>
    <t>EVID-0004</t>
  </si>
  <si>
    <t>TPRM-004</t>
  </si>
  <si>
    <t>Vendor Management Procedure</t>
  </si>
  <si>
    <t>Procedure / SOP</t>
  </si>
  <si>
    <t>Simulated evidence record for Vendor Management Procedure — evidence to be collected/validated.</t>
  </si>
  <si>
    <t>VND-004</t>
  </si>
  <si>
    <t>Portfolio Vendor 04</t>
  </si>
  <si>
    <t>Related control / requirement for Vendor Management Procedure</t>
  </si>
  <si>
    <t>/15-Evidence/TPRM-004</t>
  </si>
  <si>
    <t>EVID-0005</t>
  </si>
  <si>
    <t>TPRM-005</t>
  </si>
  <si>
    <t>Vendor Lifecycle</t>
  </si>
  <si>
    <t>Lifecycle Procedure</t>
  </si>
  <si>
    <t>Simulated evidence record for Vendor Lifecycle — evidence to be collected/validated.</t>
  </si>
  <si>
    <t>VND-005</t>
  </si>
  <si>
    <t>Portfolio Vendor 05</t>
  </si>
  <si>
    <t>Related control / requirement for Vendor Lifecycle</t>
  </si>
  <si>
    <t>/15-Evidence/TPRM-005</t>
  </si>
  <si>
    <t>EVID-0006</t>
  </si>
  <si>
    <t>TPRM-006</t>
  </si>
  <si>
    <t>Vendor Inventory</t>
  </si>
  <si>
    <t>Inventory</t>
  </si>
  <si>
    <t>Vendor Master Record</t>
  </si>
  <si>
    <t>Simulated evidence record for Vendor Inventory — evidence to be collected/validated.</t>
  </si>
  <si>
    <t>VND-006</t>
  </si>
  <si>
    <t>Portfolio Vendor 06</t>
  </si>
  <si>
    <t>Related control / requirement for Vendor Inventory</t>
  </si>
  <si>
    <t>/15-Evidence/TPRM-006</t>
  </si>
  <si>
    <t>EVID-0007</t>
  </si>
  <si>
    <t>TPRM-007</t>
  </si>
  <si>
    <t>Vendor Risk Assessment</t>
  </si>
  <si>
    <t>Risk Assessment</t>
  </si>
  <si>
    <t>Completed Risk Assessment</t>
  </si>
  <si>
    <t>Simulated evidence record for Vendor Risk Assessment — evidence to be collected/validated.</t>
  </si>
  <si>
    <t>VND-007</t>
  </si>
  <si>
    <t>Portfolio Vendor 07</t>
  </si>
  <si>
    <t>Related control / requirement for Vendor Risk Assessment</t>
  </si>
  <si>
    <t>/15-Evidence/TPRM-007</t>
  </si>
  <si>
    <t>EVID-0008</t>
  </si>
  <si>
    <t>TPRM-008</t>
  </si>
  <si>
    <t>Detailed Assessment</t>
  </si>
  <si>
    <t>VND-008</t>
  </si>
  <si>
    <t>Portfolio Vendor 08</t>
  </si>
  <si>
    <t>/15-Evidence/TPRM-008</t>
  </si>
  <si>
    <t>EVID-0009</t>
  </si>
  <si>
    <t>TPRM-009</t>
  </si>
  <si>
    <t>Vendor Risk Register</t>
  </si>
  <si>
    <t>Risk Register</t>
  </si>
  <si>
    <t>Risk Record</t>
  </si>
  <si>
    <t>Simulated evidence record for Vendor Risk Register — evidence to be collected/validated.</t>
  </si>
  <si>
    <t>VND-009</t>
  </si>
  <si>
    <t>Portfolio Vendor 09</t>
  </si>
  <si>
    <t>Related control / requirement for Vendor Risk Register</t>
  </si>
  <si>
    <t>/15-Evidence/TPRM-009</t>
  </si>
  <si>
    <t>EVID-0010</t>
  </si>
  <si>
    <t>TPRM-010</t>
  </si>
  <si>
    <t>Due Diligence</t>
  </si>
  <si>
    <t>Due Diligence Evidence</t>
  </si>
  <si>
    <t>Simulated evidence record for Due Diligence — evidence to be collected/validated.</t>
  </si>
  <si>
    <t>VND-010</t>
  </si>
  <si>
    <t>Portfolio Vendor 10</t>
  </si>
  <si>
    <t>Related control / requirement for Due Diligence</t>
  </si>
  <si>
    <t>/15-Evidence/TPRM-010</t>
  </si>
  <si>
    <t>EVID-0011</t>
  </si>
  <si>
    <t>TPRM-011</t>
  </si>
  <si>
    <t>Security Questionnaire</t>
  </si>
  <si>
    <t>Security Assessment</t>
  </si>
  <si>
    <t>Completed Security Questionnaire</t>
  </si>
  <si>
    <t>Simulated evidence record for Security Questionnaire — evidence to be collected/validated.</t>
  </si>
  <si>
    <t>VND-011</t>
  </si>
  <si>
    <t>Portfolio Vendor 11</t>
  </si>
  <si>
    <t>Related control / requirement for Security Questionnaire</t>
  </si>
  <si>
    <t>/15-Evidence/TPRM-011</t>
  </si>
  <si>
    <t>EVID-0012</t>
  </si>
  <si>
    <t>TPRM-012</t>
  </si>
  <si>
    <t>Security Assurance</t>
  </si>
  <si>
    <t>Certification / Assurance Report</t>
  </si>
  <si>
    <t>Simulated evidence record for Security Assurance — evidence to be collected/validated.</t>
  </si>
  <si>
    <t>VND-012</t>
  </si>
  <si>
    <t>Portfolio Vendor 12</t>
  </si>
  <si>
    <t>Related control / requirement for Security Assurance</t>
  </si>
  <si>
    <t>/15-Evidence/TPRM-012</t>
  </si>
  <si>
    <t>EVID-0013</t>
  </si>
  <si>
    <t>TPRM-013</t>
  </si>
  <si>
    <t>Contract / SLA / Security</t>
  </si>
  <si>
    <t>Contracts</t>
  </si>
  <si>
    <t>Executed Contract / Security Clause</t>
  </si>
  <si>
    <t>Simulated evidence record for Contract / SLA / Security — evidence to be collected/validated.</t>
  </si>
  <si>
    <t>VND-013</t>
  </si>
  <si>
    <t>Portfolio Vendor 13</t>
  </si>
  <si>
    <t>Related control / requirement for Contract / SLA / Security</t>
  </si>
  <si>
    <t>/15-Evidence/TPRM-013</t>
  </si>
  <si>
    <t>EVID-0014</t>
  </si>
  <si>
    <t>TPRM-014</t>
  </si>
  <si>
    <t>SLA Monitoring</t>
  </si>
  <si>
    <t>Performance</t>
  </si>
  <si>
    <t>SLA Performance Report</t>
  </si>
  <si>
    <t>Simulated evidence record for SLA Monitoring — evidence to be collected/validated.</t>
  </si>
  <si>
    <t>VND-014</t>
  </si>
  <si>
    <t>Portfolio Vendor 14</t>
  </si>
  <si>
    <t>Related control / requirement for SLA Monitoring</t>
  </si>
  <si>
    <t>/15-Evidence/TPRM-014</t>
  </si>
  <si>
    <t>EVID-0015</t>
  </si>
  <si>
    <t>TPRM-015</t>
  </si>
  <si>
    <t>Incident / Breach</t>
  </si>
  <si>
    <t>Incident Management</t>
  </si>
  <si>
    <t>Incident Record</t>
  </si>
  <si>
    <t>Simulated evidence record for Incident / Breach — evidence to be collected/validated.</t>
  </si>
  <si>
    <t>VND-015</t>
  </si>
  <si>
    <t>Portfolio Vendor 15</t>
  </si>
  <si>
    <t>Related control / requirement for Incident / Breach</t>
  </si>
  <si>
    <t>/15-Evidence/TPRM-015</t>
  </si>
  <si>
    <t>EVID-0016</t>
  </si>
  <si>
    <t>TPRM-016</t>
  </si>
  <si>
    <t>BCDR Assessment</t>
  </si>
  <si>
    <t>BCDR</t>
  </si>
  <si>
    <t>BCP / DR Evidence</t>
  </si>
  <si>
    <t>Simulated evidence record for BCDR Assessment — evidence to be collected/validated.</t>
  </si>
  <si>
    <t>VND-016</t>
  </si>
  <si>
    <t>Portfolio Vendor 16</t>
  </si>
  <si>
    <t>Related control / requirement for BCDR Assessment</t>
  </si>
  <si>
    <t>/15-Evidence/TPRM-016</t>
  </si>
  <si>
    <t>EVID-0017</t>
  </si>
  <si>
    <t>TPRM-017</t>
  </si>
  <si>
    <t>Risk Treatment</t>
  </si>
  <si>
    <t>Remediation Evidence</t>
  </si>
  <si>
    <t>Simulated evidence record for Risk Treatment — evidence to be collected/validated.</t>
  </si>
  <si>
    <t>VND-017</t>
  </si>
  <si>
    <t>Portfolio Vendor 17</t>
  </si>
  <si>
    <t>Related control / requirement for Risk Treatment</t>
  </si>
  <si>
    <t>/15-Evidence/TPRM-017</t>
  </si>
  <si>
    <t>EVID-0018</t>
  </si>
  <si>
    <t>TPRM-018</t>
  </si>
  <si>
    <t>Risk Reassessment</t>
  </si>
  <si>
    <t>Risk Review</t>
  </si>
  <si>
    <t>Reassessment Record</t>
  </si>
  <si>
    <t>Simulated evidence record for Risk Reassessment — evidence to be collected/validated.</t>
  </si>
  <si>
    <t>VND-018</t>
  </si>
  <si>
    <t>Portfolio Vendor 18</t>
  </si>
  <si>
    <t>Related control / requirement for Risk Reassessment</t>
  </si>
  <si>
    <t>/15-Evidence/TPRM-018</t>
  </si>
  <si>
    <t>EVID-0019</t>
  </si>
  <si>
    <t>TPRM-019</t>
  </si>
  <si>
    <t>Offboarding</t>
  </si>
  <si>
    <t>Exit / Closure Evidence</t>
  </si>
  <si>
    <t>Simulated evidence record for Offboarding — evidence to be collected/validated.</t>
  </si>
  <si>
    <t>VND-019</t>
  </si>
  <si>
    <t>Portfolio Vendor 19</t>
  </si>
  <si>
    <t>Related control / requirement for Offboarding</t>
  </si>
  <si>
    <t>/15-Evidence/TPRM-019</t>
  </si>
  <si>
    <t>EVID-0020</t>
  </si>
  <si>
    <t>TPRM-020</t>
  </si>
  <si>
    <t>Management Dashboard</t>
  </si>
  <si>
    <t>Management Reporting</t>
  </si>
  <si>
    <t>Management Review / Dashboard</t>
  </si>
  <si>
    <t>Simulated evidence record for Management Dashboard — evidence to be collected/validated.</t>
  </si>
  <si>
    <t>VND-020</t>
  </si>
  <si>
    <t>Portfolio Vendor 20</t>
  </si>
  <si>
    <t>Related control / requirement for Management Dashboard</t>
  </si>
  <si>
    <t>/15-Evidence/TPRM-020</t>
  </si>
  <si>
    <t>EVID-0021</t>
  </si>
  <si>
    <t>TPRM-021</t>
  </si>
  <si>
    <t>Periodic Due Diligence</t>
  </si>
  <si>
    <t>Monitoring</t>
  </si>
  <si>
    <t>Periodic Due Diligence Evidence</t>
  </si>
  <si>
    <t>Simulated evidence record for Periodic Due Diligence — evidence to be collected/validated.</t>
  </si>
  <si>
    <t>VND-021</t>
  </si>
  <si>
    <t>Portfolio Vendor 21</t>
  </si>
  <si>
    <t>Related control / requirement for Periodic Due Diligence</t>
  </si>
  <si>
    <t>/15-Evidence/TPRM-021</t>
  </si>
  <si>
    <t>EVID-0022</t>
  </si>
  <si>
    <t>TPRM-022</t>
  </si>
  <si>
    <t>Security Assessment Evidence</t>
  </si>
  <si>
    <t>Evidence Validation Record</t>
  </si>
  <si>
    <t>Simulated evidence record for Security Assessment Evidence — evidence to be collected/validated.</t>
  </si>
  <si>
    <t>VND-022</t>
  </si>
  <si>
    <t>Portfolio Vendor 22</t>
  </si>
  <si>
    <t>Related control / requirement for Security Assessment Evidence</t>
  </si>
  <si>
    <t>/15-Evidence/TPRM-022</t>
  </si>
  <si>
    <t>EVID-0023</t>
  </si>
  <si>
    <t>TPRM-023</t>
  </si>
  <si>
    <t>Security Exception</t>
  </si>
  <si>
    <t>Exception Management</t>
  </si>
  <si>
    <t>Approved Exception / Waiver</t>
  </si>
  <si>
    <t>Simulated evidence record for Security Exception — evidence to be collected/validated.</t>
  </si>
  <si>
    <t>VND-023</t>
  </si>
  <si>
    <t>Portfolio Vendor 23</t>
  </si>
  <si>
    <t>Related control / requirement for Security Exception</t>
  </si>
  <si>
    <t>/15-Evidence/TPRM-023</t>
  </si>
  <si>
    <t>EVID-0024</t>
  </si>
  <si>
    <t>TPRM-024</t>
  </si>
  <si>
    <t>Risk Acceptance</t>
  </si>
  <si>
    <t>Risk Acceptance Approval</t>
  </si>
  <si>
    <t>Simulated evidence record for Risk Acceptance — evidence to be collected/validated.</t>
  </si>
  <si>
    <t>VND-024</t>
  </si>
  <si>
    <t>Portfolio Vendor 24</t>
  </si>
  <si>
    <t>Related control / requirement for Risk Acceptance</t>
  </si>
  <si>
    <t>/15-Evidence/TPRM-024</t>
  </si>
  <si>
    <t>EVID-0025</t>
  </si>
  <si>
    <t>TPRM-025</t>
  </si>
  <si>
    <t>Risk Escalation</t>
  </si>
  <si>
    <t>Escalation</t>
  </si>
  <si>
    <t>Management Escalation Record</t>
  </si>
  <si>
    <t>Simulated evidence record for Risk Escalation — evidence to be collected/validated.</t>
  </si>
  <si>
    <t>VND-025</t>
  </si>
  <si>
    <t>Portfolio Vendor 25</t>
  </si>
  <si>
    <t>Related control / requirement for Risk Escalation</t>
  </si>
  <si>
    <t>/15-Evidence/TPRM-025</t>
  </si>
  <si>
    <t>EVID-0026</t>
  </si>
  <si>
    <t>TPRM-026</t>
  </si>
  <si>
    <t>Continuous Monitoring</t>
  </si>
  <si>
    <t>Monitoring Record / Alert</t>
  </si>
  <si>
    <t>Simulated evidence record for Continuous Monitoring — evidence to be collected/validated.</t>
  </si>
  <si>
    <t>VND-026</t>
  </si>
  <si>
    <t>Portfolio Vendor 26</t>
  </si>
  <si>
    <t>Related control / requirement for Continuous Monitoring</t>
  </si>
  <si>
    <t>/15-Evidence/TPRM-026</t>
  </si>
  <si>
    <t>EVID-0027</t>
  </si>
  <si>
    <t>TPRM-027</t>
  </si>
  <si>
    <t>Security Event Management</t>
  </si>
  <si>
    <t>Security Event Record</t>
  </si>
  <si>
    <t>Simulated evidence record for Security Event Management — evidence to be collected/validated.</t>
  </si>
  <si>
    <t>VND-027</t>
  </si>
  <si>
    <t>Portfolio Vendor 27</t>
  </si>
  <si>
    <t>Related control / requirement for Security Event Management</t>
  </si>
  <si>
    <t>/15-Evidence/TPRM-027</t>
  </si>
  <si>
    <t>EVID-0028</t>
  </si>
  <si>
    <t>TPRM-028</t>
  </si>
  <si>
    <t>SLA Performance</t>
  </si>
  <si>
    <t>SLA Breach / Performance Evidence</t>
  </si>
  <si>
    <t>Simulated evidence record for SLA Performance — evidence to be collected/validated.</t>
  </si>
  <si>
    <t>VND-028</t>
  </si>
  <si>
    <t>Portfolio Vendor 28</t>
  </si>
  <si>
    <t>Related control / requirement for SLA Performance</t>
  </si>
  <si>
    <t>/15-Evidence/TPRM-028</t>
  </si>
  <si>
    <t>EVID-0029</t>
  </si>
  <si>
    <t>TPRM-029</t>
  </si>
  <si>
    <t>BCDR Assessment / Test Evidence</t>
  </si>
  <si>
    <t>Simulated evidence record for BCDR — evidence to be collected/validated.</t>
  </si>
  <si>
    <t>VND-029</t>
  </si>
  <si>
    <t>Portfolio Vendor 29</t>
  </si>
  <si>
    <t>Related control / requirement for BCDR</t>
  </si>
  <si>
    <t>/15-Evidence/TPRM-029</t>
  </si>
  <si>
    <t>EVID-0030</t>
  </si>
  <si>
    <t>TPRM-030</t>
  </si>
  <si>
    <t>Privacy</t>
  </si>
  <si>
    <t>Privacy Assessment / DPA Evidence</t>
  </si>
  <si>
    <t>Simulated evidence record for Privacy — evidence to be collected/validated.</t>
  </si>
  <si>
    <t>VND-030</t>
  </si>
  <si>
    <t>Portfolio Vendor 30</t>
  </si>
  <si>
    <t>Related control / requirement for Privacy</t>
  </si>
  <si>
    <t>/15-Evidence/TPRM-030</t>
  </si>
  <si>
    <t>Metric</t>
  </si>
  <si>
    <t>Value</t>
  </si>
  <si>
    <t>Interpretation</t>
  </si>
  <si>
    <t>Core TPRM Documents Mapped</t>
  </si>
  <si>
    <t>All TPRM-001 to TPRM-030 documents mapped.</t>
  </si>
  <si>
    <t>Evidence Index Records</t>
  </si>
  <si>
    <t>Portfolio evidence slots; actual evidence must be validated before use.</t>
  </si>
  <si>
    <t>Evidence Available</t>
  </si>
  <si>
    <t>Evidence records currently marked available.</t>
  </si>
  <si>
    <t>Evidence Pending</t>
  </si>
  <si>
    <t>Evidence still to be collected/reviewed.</t>
  </si>
  <si>
    <t>Evidence Rejected</t>
  </si>
  <si>
    <t>Evidence requiring replacement or clarification.</t>
  </si>
  <si>
    <t>Validation Pending</t>
  </si>
  <si>
    <t>Evidence awaiting validation.</t>
  </si>
  <si>
    <t>Overall Status</t>
  </si>
  <si>
    <t>Portfolio Evidence Index — Draft</t>
  </si>
  <si>
    <t>Simulated index prepared for GitHub evidence-pack development.</t>
  </si>
  <si>
    <t>Step</t>
  </si>
  <si>
    <t>Method</t>
  </si>
  <si>
    <t>1. Identify</t>
  </si>
  <si>
    <t>Map each evidence item to the relevant TPRM document, process and control.</t>
  </si>
  <si>
    <t>2. Request</t>
  </si>
  <si>
    <t>Record the evidence expected from the vendor or internal owner.</t>
  </si>
  <si>
    <t>3. Review</t>
  </si>
  <si>
    <t>Check currency, relevance, completeness, authenticity/reliability and traceability.</t>
  </si>
  <si>
    <t>4. Record</t>
  </si>
  <si>
    <t>Assign Evidence ID and maintain source/reference information.</t>
  </si>
  <si>
    <t>5. Assess</t>
  </si>
  <si>
    <t>Record findings, gaps and corrective actions where evidence is insufficient.</t>
  </si>
  <si>
    <t>6. Validate</t>
  </si>
  <si>
    <t>Confirm remediation evidence and closure before marking verified.</t>
  </si>
  <si>
    <t>7. Retain</t>
  </si>
  <si>
    <t>Store evidence in an approved location with appropriate confidentiality.</t>
  </si>
  <si>
    <t>8. Portfolio Rule</t>
  </si>
  <si>
    <t>Use only simulated/sample evidence in this GitHub portfolio and clearly label it.</t>
  </si>
  <si>
    <t>Field</t>
  </si>
  <si>
    <t>Purpose</t>
  </si>
  <si>
    <t>Evidence index field used to maintain traceability, review, validation and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</si>
</sst>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EvidenceIndex" displayName="TPRMEvidenceIndex" ref="A1:Z31">
  <autoFilter ref="A1:Z31" xr:uid="{00000000-0009-0000-0100-000001000000}"/>
  <tableColumns count="26">
    <tableColumn id="1" xr3:uid="{00000000-0010-0000-0000-000001000000}" name="Evidence ID" dataDxfId="25"/>
    <tableColumn id="2" xr3:uid="{00000000-0010-0000-0000-000002000000}" name="TPRM Document ID" dataDxfId="24"/>
    <tableColumn id="3" xr3:uid="{00000000-0010-0000-0000-000003000000}" name="TPRM Activity" dataDxfId="23"/>
    <tableColumn id="4" xr3:uid="{00000000-0010-0000-0000-000004000000}" name="Evidence Category" dataDxfId="22"/>
    <tableColumn id="5" xr3:uid="{00000000-0010-0000-0000-000005000000}" name="Evidence Type" dataDxfId="21"/>
    <tableColumn id="6" xr3:uid="{00000000-0010-0000-0000-000006000000}" name="Evidence Title / Description" dataDxfId="20"/>
    <tableColumn id="7" xr3:uid="{00000000-0010-0000-0000-000007000000}" name="Vendor ID" dataDxfId="19"/>
    <tableColumn id="8" xr3:uid="{00000000-0010-0000-0000-000008000000}" name="Vendor Name" dataDxfId="18"/>
    <tableColumn id="9" xr3:uid="{00000000-0010-0000-0000-000009000000}" name="Related Control / Requirement" dataDxfId="17"/>
    <tableColumn id="10" xr3:uid="{00000000-0010-0000-0000-00000A000000}" name="Evidence Source" dataDxfId="16"/>
    <tableColumn id="11" xr3:uid="{00000000-0010-0000-0000-00000B000000}" name="Evidence Date" dataDxfId="15"/>
    <tableColumn id="12" xr3:uid="{00000000-0010-0000-0000-00000C000000}" name="Review Date" dataDxfId="14"/>
    <tableColumn id="13" xr3:uid="{00000000-0010-0000-0000-00000D000000}" name="Currency" dataDxfId="13"/>
    <tableColumn id="14" xr3:uid="{00000000-0010-0000-0000-00000E000000}" name="Relevance" dataDxfId="12"/>
    <tableColumn id="15" xr3:uid="{00000000-0010-0000-0000-00000F000000}" name="Completeness" dataDxfId="11"/>
    <tableColumn id="16" xr3:uid="{00000000-0010-0000-0000-000010000000}" name="Authenticity / Reliability" dataDxfId="10"/>
    <tableColumn id="17" xr3:uid="{00000000-0010-0000-0000-000011000000}" name="Traceability" dataDxfId="9"/>
    <tableColumn id="18" xr3:uid="{00000000-0010-0000-0000-000012000000}" name="Evidence Status" dataDxfId="8"/>
    <tableColumn id="19" xr3:uid="{00000000-0010-0000-0000-000013000000}" name="Reviewer" dataDxfId="7"/>
    <tableColumn id="20" xr3:uid="{00000000-0010-0000-0000-000014000000}" name="Finding / Gap" dataDxfId="6"/>
    <tableColumn id="21" xr3:uid="{00000000-0010-0000-0000-000015000000}" name="Corrective Action" dataDxfId="5"/>
    <tableColumn id="22" xr3:uid="{00000000-0010-0000-0000-000016000000}" name="Validation Status" dataDxfId="4"/>
    <tableColumn id="23" xr3:uid="{00000000-0010-0000-0000-000017000000}" name="Closure Date" dataDxfId="3"/>
    <tableColumn id="24" xr3:uid="{00000000-0010-0000-0000-000018000000}" name="Confidentiality" dataDxfId="2"/>
    <tableColumn id="25" xr3:uid="{00000000-0010-0000-0000-000019000000}" name="Storage Location / Reference" dataDxfId="1"/>
    <tableColumn id="26" xr3:uid="{00000000-0010-0000-0000-00001A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Z31"/>
  <sheetViews>
    <sheetView showGridLines="0" workbookViewId="0">
      <pane ySplit="1" topLeftCell="A27" activePane="bottomLeft" state="frozen"/>
      <selection pane="bottomLeft" activeCell="C29" sqref="C29"/>
    </sheetView>
  </sheetViews>
  <sheetFormatPr defaultRowHeight="14.4" x14ac:dyDescent="0.3"/>
  <cols>
    <col min="1" max="1" width="16" customWidth="1"/>
    <col min="2" max="2" width="18" customWidth="1"/>
    <col min="3" max="3" width="30" customWidth="1"/>
    <col min="4" max="4" width="25" customWidth="1"/>
    <col min="5" max="5" width="32" customWidth="1"/>
    <col min="6" max="6" width="62" customWidth="1"/>
    <col min="7" max="7" width="14" customWidth="1"/>
    <col min="8" max="8" width="28" customWidth="1"/>
    <col min="9" max="9" width="45" customWidth="1"/>
    <col min="10" max="10" width="28" customWidth="1"/>
    <col min="11" max="12" width="16" customWidth="1"/>
    <col min="13" max="15" width="18" customWidth="1"/>
    <col min="16" max="16" width="24" customWidth="1"/>
    <col min="17" max="17" width="18" customWidth="1"/>
    <col min="18" max="18" width="20" customWidth="1"/>
    <col min="19" max="19" width="22" customWidth="1"/>
    <col min="20" max="20" width="55" customWidth="1"/>
    <col min="21" max="21" width="65" customWidth="1"/>
    <col min="22" max="22" width="20" customWidth="1"/>
    <col min="23" max="23" width="16" customWidth="1"/>
    <col min="24" max="24" width="22" customWidth="1"/>
    <col min="25" max="25" width="40" customWidth="1"/>
    <col min="26" max="26" width="50" customWidth="1"/>
  </cols>
  <sheetData>
    <row r="1" spans="1:26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70.05" customHeight="1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/>
      <c r="L2" s="2" t="s">
        <v>36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38</v>
      </c>
      <c r="T2" s="2" t="s">
        <v>37</v>
      </c>
      <c r="U2" s="2" t="s">
        <v>39</v>
      </c>
      <c r="V2" s="2" t="s">
        <v>37</v>
      </c>
      <c r="W2" s="2"/>
      <c r="X2" s="2" t="s">
        <v>40</v>
      </c>
      <c r="Y2" s="2" t="s">
        <v>41</v>
      </c>
      <c r="Z2" s="2" t="s">
        <v>42</v>
      </c>
    </row>
    <row r="3" spans="1:26" ht="70.05" customHeight="1" x14ac:dyDescent="0.3">
      <c r="A3" s="2" t="s">
        <v>43</v>
      </c>
      <c r="B3" s="2" t="s">
        <v>44</v>
      </c>
      <c r="C3" s="2" t="s">
        <v>45</v>
      </c>
      <c r="D3" s="2" t="s">
        <v>29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35</v>
      </c>
      <c r="K3" s="2"/>
      <c r="L3" s="2" t="s">
        <v>36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38</v>
      </c>
      <c r="T3" s="2" t="s">
        <v>37</v>
      </c>
      <c r="U3" s="2" t="s">
        <v>39</v>
      </c>
      <c r="V3" s="2" t="s">
        <v>37</v>
      </c>
      <c r="W3" s="2"/>
      <c r="X3" s="2" t="s">
        <v>40</v>
      </c>
      <c r="Y3" s="2" t="s">
        <v>51</v>
      </c>
      <c r="Z3" s="2" t="s">
        <v>42</v>
      </c>
    </row>
    <row r="4" spans="1:26" ht="70.05" customHeight="1" x14ac:dyDescent="0.3">
      <c r="A4" s="2" t="s">
        <v>52</v>
      </c>
      <c r="B4" s="2" t="s">
        <v>53</v>
      </c>
      <c r="C4" s="2" t="s">
        <v>54</v>
      </c>
      <c r="D4" s="2" t="s">
        <v>29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35</v>
      </c>
      <c r="K4" s="2"/>
      <c r="L4" s="2" t="s">
        <v>36</v>
      </c>
      <c r="M4" s="2" t="s">
        <v>37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38</v>
      </c>
      <c r="T4" s="2" t="s">
        <v>37</v>
      </c>
      <c r="U4" s="2" t="s">
        <v>39</v>
      </c>
      <c r="V4" s="2" t="s">
        <v>37</v>
      </c>
      <c r="W4" s="2"/>
      <c r="X4" s="2" t="s">
        <v>40</v>
      </c>
      <c r="Y4" s="2" t="s">
        <v>60</v>
      </c>
      <c r="Z4" s="2" t="s">
        <v>42</v>
      </c>
    </row>
    <row r="5" spans="1:26" ht="70.05" customHeight="1" x14ac:dyDescent="0.3">
      <c r="A5" s="2" t="s">
        <v>61</v>
      </c>
      <c r="B5" s="2" t="s">
        <v>62</v>
      </c>
      <c r="C5" s="2" t="s">
        <v>63</v>
      </c>
      <c r="D5" s="2" t="s">
        <v>29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35</v>
      </c>
      <c r="K5" s="2"/>
      <c r="L5" s="2" t="s">
        <v>36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38</v>
      </c>
      <c r="T5" s="2" t="s">
        <v>37</v>
      </c>
      <c r="U5" s="2" t="s">
        <v>39</v>
      </c>
      <c r="V5" s="2" t="s">
        <v>37</v>
      </c>
      <c r="W5" s="2"/>
      <c r="X5" s="2" t="s">
        <v>40</v>
      </c>
      <c r="Y5" s="2" t="s">
        <v>69</v>
      </c>
      <c r="Z5" s="2" t="s">
        <v>42</v>
      </c>
    </row>
    <row r="6" spans="1:26" ht="70.05" customHeight="1" x14ac:dyDescent="0.3">
      <c r="A6" s="2" t="s">
        <v>70</v>
      </c>
      <c r="B6" s="2" t="s">
        <v>71</v>
      </c>
      <c r="C6" s="2" t="s">
        <v>72</v>
      </c>
      <c r="D6" s="2" t="s">
        <v>29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35</v>
      </c>
      <c r="K6" s="2"/>
      <c r="L6" s="2" t="s">
        <v>36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38</v>
      </c>
      <c r="T6" s="2" t="s">
        <v>37</v>
      </c>
      <c r="U6" s="2" t="s">
        <v>39</v>
      </c>
      <c r="V6" s="2" t="s">
        <v>37</v>
      </c>
      <c r="W6" s="2"/>
      <c r="X6" s="2" t="s">
        <v>40</v>
      </c>
      <c r="Y6" s="2" t="s">
        <v>78</v>
      </c>
      <c r="Z6" s="2" t="s">
        <v>42</v>
      </c>
    </row>
    <row r="7" spans="1:26" ht="70.05" customHeight="1" x14ac:dyDescent="0.3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  <c r="G7" s="2" t="s">
        <v>85</v>
      </c>
      <c r="H7" s="2" t="s">
        <v>86</v>
      </c>
      <c r="I7" s="2" t="s">
        <v>87</v>
      </c>
      <c r="J7" s="2" t="s">
        <v>35</v>
      </c>
      <c r="K7" s="2"/>
      <c r="L7" s="2" t="s">
        <v>36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38</v>
      </c>
      <c r="T7" s="2" t="s">
        <v>37</v>
      </c>
      <c r="U7" s="2" t="s">
        <v>39</v>
      </c>
      <c r="V7" s="2" t="s">
        <v>37</v>
      </c>
      <c r="W7" s="2"/>
      <c r="X7" s="2" t="s">
        <v>40</v>
      </c>
      <c r="Y7" s="2" t="s">
        <v>88</v>
      </c>
      <c r="Z7" s="2" t="s">
        <v>42</v>
      </c>
    </row>
    <row r="8" spans="1:26" ht="70.05" customHeight="1" x14ac:dyDescent="0.3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35</v>
      </c>
      <c r="K8" s="2"/>
      <c r="L8" s="2" t="s">
        <v>36</v>
      </c>
      <c r="M8" s="2" t="s">
        <v>37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38</v>
      </c>
      <c r="T8" s="2" t="s">
        <v>37</v>
      </c>
      <c r="U8" s="2" t="s">
        <v>39</v>
      </c>
      <c r="V8" s="2" t="s">
        <v>37</v>
      </c>
      <c r="W8" s="2"/>
      <c r="X8" s="2" t="s">
        <v>40</v>
      </c>
      <c r="Y8" s="2" t="s">
        <v>98</v>
      </c>
      <c r="Z8" s="2" t="s">
        <v>42</v>
      </c>
    </row>
    <row r="9" spans="1:26" ht="70.05" customHeight="1" x14ac:dyDescent="0.3">
      <c r="A9" s="2" t="s">
        <v>99</v>
      </c>
      <c r="B9" s="2" t="s">
        <v>100</v>
      </c>
      <c r="C9" s="2" t="s">
        <v>91</v>
      </c>
      <c r="D9" s="2" t="s">
        <v>92</v>
      </c>
      <c r="E9" s="2" t="s">
        <v>101</v>
      </c>
      <c r="F9" s="2" t="s">
        <v>94</v>
      </c>
      <c r="G9" s="2" t="s">
        <v>102</v>
      </c>
      <c r="H9" s="2" t="s">
        <v>103</v>
      </c>
      <c r="I9" s="2" t="s">
        <v>97</v>
      </c>
      <c r="J9" s="2" t="s">
        <v>35</v>
      </c>
      <c r="K9" s="2"/>
      <c r="L9" s="2" t="s">
        <v>36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38</v>
      </c>
      <c r="T9" s="2" t="s">
        <v>37</v>
      </c>
      <c r="U9" s="2" t="s">
        <v>39</v>
      </c>
      <c r="V9" s="2" t="s">
        <v>37</v>
      </c>
      <c r="W9" s="2"/>
      <c r="X9" s="2" t="s">
        <v>40</v>
      </c>
      <c r="Y9" s="2" t="s">
        <v>104</v>
      </c>
      <c r="Z9" s="2" t="s">
        <v>42</v>
      </c>
    </row>
    <row r="10" spans="1:26" ht="70.05" customHeight="1" x14ac:dyDescent="0.3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109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35</v>
      </c>
      <c r="K10" s="2"/>
      <c r="L10" s="2" t="s">
        <v>36</v>
      </c>
      <c r="M10" s="2" t="s">
        <v>37</v>
      </c>
      <c r="N10" s="2" t="s">
        <v>37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38</v>
      </c>
      <c r="T10" s="2" t="s">
        <v>37</v>
      </c>
      <c r="U10" s="2" t="s">
        <v>39</v>
      </c>
      <c r="V10" s="2" t="s">
        <v>37</v>
      </c>
      <c r="W10" s="2"/>
      <c r="X10" s="2" t="s">
        <v>40</v>
      </c>
      <c r="Y10" s="2" t="s">
        <v>114</v>
      </c>
      <c r="Z10" s="2" t="s">
        <v>42</v>
      </c>
    </row>
    <row r="11" spans="1:26" ht="70.05" customHeight="1" x14ac:dyDescent="0.3">
      <c r="A11" s="2" t="s">
        <v>115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122</v>
      </c>
      <c r="J11" s="2" t="s">
        <v>35</v>
      </c>
      <c r="K11" s="2"/>
      <c r="L11" s="2" t="s">
        <v>36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38</v>
      </c>
      <c r="T11" s="2" t="s">
        <v>37</v>
      </c>
      <c r="U11" s="2" t="s">
        <v>39</v>
      </c>
      <c r="V11" s="2" t="s">
        <v>37</v>
      </c>
      <c r="W11" s="2"/>
      <c r="X11" s="2" t="s">
        <v>40</v>
      </c>
      <c r="Y11" s="2" t="s">
        <v>123</v>
      </c>
      <c r="Z11" s="2" t="s">
        <v>42</v>
      </c>
    </row>
    <row r="12" spans="1:26" ht="70.05" customHeight="1" x14ac:dyDescent="0.3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35</v>
      </c>
      <c r="K12" s="2"/>
      <c r="L12" s="2" t="s">
        <v>36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38</v>
      </c>
      <c r="T12" s="2" t="s">
        <v>37</v>
      </c>
      <c r="U12" s="2" t="s">
        <v>39</v>
      </c>
      <c r="V12" s="2" t="s">
        <v>37</v>
      </c>
      <c r="W12" s="2"/>
      <c r="X12" s="2" t="s">
        <v>40</v>
      </c>
      <c r="Y12" s="2" t="s">
        <v>133</v>
      </c>
      <c r="Z12" s="2" t="s">
        <v>42</v>
      </c>
    </row>
    <row r="13" spans="1:26" ht="70.05" customHeight="1" x14ac:dyDescent="0.3">
      <c r="A13" s="2" t="s">
        <v>134</v>
      </c>
      <c r="B13" s="2" t="s">
        <v>135</v>
      </c>
      <c r="C13" s="2" t="s">
        <v>136</v>
      </c>
      <c r="D13" s="2" t="s">
        <v>127</v>
      </c>
      <c r="E13" s="2" t="s">
        <v>137</v>
      </c>
      <c r="F13" s="2" t="s">
        <v>138</v>
      </c>
      <c r="G13" s="2" t="s">
        <v>139</v>
      </c>
      <c r="H13" s="2" t="s">
        <v>140</v>
      </c>
      <c r="I13" s="2" t="s">
        <v>141</v>
      </c>
      <c r="J13" s="2" t="s">
        <v>35</v>
      </c>
      <c r="K13" s="2"/>
      <c r="L13" s="2" t="s">
        <v>36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38</v>
      </c>
      <c r="T13" s="2" t="s">
        <v>37</v>
      </c>
      <c r="U13" s="2" t="s">
        <v>39</v>
      </c>
      <c r="V13" s="2" t="s">
        <v>37</v>
      </c>
      <c r="W13" s="2"/>
      <c r="X13" s="2" t="s">
        <v>40</v>
      </c>
      <c r="Y13" s="2" t="s">
        <v>142</v>
      </c>
      <c r="Z13" s="2" t="s">
        <v>42</v>
      </c>
    </row>
    <row r="14" spans="1:26" ht="70.05" customHeight="1" x14ac:dyDescent="0.3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35</v>
      </c>
      <c r="K14" s="2"/>
      <c r="L14" s="2" t="s">
        <v>36</v>
      </c>
      <c r="M14" s="2" t="s">
        <v>37</v>
      </c>
      <c r="N14" s="2" t="s">
        <v>37</v>
      </c>
      <c r="O14" s="2" t="s">
        <v>37</v>
      </c>
      <c r="P14" s="2" t="s">
        <v>37</v>
      </c>
      <c r="Q14" s="2" t="s">
        <v>37</v>
      </c>
      <c r="R14" s="2" t="s">
        <v>37</v>
      </c>
      <c r="S14" s="2" t="s">
        <v>38</v>
      </c>
      <c r="T14" s="2" t="s">
        <v>37</v>
      </c>
      <c r="U14" s="2" t="s">
        <v>39</v>
      </c>
      <c r="V14" s="2" t="s">
        <v>37</v>
      </c>
      <c r="W14" s="2"/>
      <c r="X14" s="2" t="s">
        <v>40</v>
      </c>
      <c r="Y14" s="2" t="s">
        <v>152</v>
      </c>
      <c r="Z14" s="2" t="s">
        <v>42</v>
      </c>
    </row>
    <row r="15" spans="1:26" ht="70.05" customHeight="1" x14ac:dyDescent="0.3">
      <c r="A15" s="2" t="s">
        <v>153</v>
      </c>
      <c r="B15" s="2" t="s">
        <v>154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159</v>
      </c>
      <c r="H15" s="2" t="s">
        <v>160</v>
      </c>
      <c r="I15" s="2" t="s">
        <v>161</v>
      </c>
      <c r="J15" s="2" t="s">
        <v>35</v>
      </c>
      <c r="K15" s="2"/>
      <c r="L15" s="2" t="s">
        <v>36</v>
      </c>
      <c r="M15" s="2" t="s">
        <v>37</v>
      </c>
      <c r="N15" s="2" t="s">
        <v>37</v>
      </c>
      <c r="O15" s="2" t="s">
        <v>37</v>
      </c>
      <c r="P15" s="2" t="s">
        <v>37</v>
      </c>
      <c r="Q15" s="2" t="s">
        <v>37</v>
      </c>
      <c r="R15" s="2" t="s">
        <v>37</v>
      </c>
      <c r="S15" s="2" t="s">
        <v>38</v>
      </c>
      <c r="T15" s="2" t="s">
        <v>37</v>
      </c>
      <c r="U15" s="2" t="s">
        <v>39</v>
      </c>
      <c r="V15" s="2" t="s">
        <v>37</v>
      </c>
      <c r="W15" s="2"/>
      <c r="X15" s="2" t="s">
        <v>40</v>
      </c>
      <c r="Y15" s="2" t="s">
        <v>162</v>
      </c>
      <c r="Z15" s="2" t="s">
        <v>42</v>
      </c>
    </row>
    <row r="16" spans="1:26" ht="70.05" customHeight="1" x14ac:dyDescent="0.3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167</v>
      </c>
      <c r="F16" s="2" t="s">
        <v>168</v>
      </c>
      <c r="G16" s="2" t="s">
        <v>169</v>
      </c>
      <c r="H16" s="2" t="s">
        <v>170</v>
      </c>
      <c r="I16" s="2" t="s">
        <v>171</v>
      </c>
      <c r="J16" s="2" t="s">
        <v>35</v>
      </c>
      <c r="K16" s="2"/>
      <c r="L16" s="2" t="s">
        <v>36</v>
      </c>
      <c r="M16" s="2" t="s">
        <v>37</v>
      </c>
      <c r="N16" s="2" t="s">
        <v>37</v>
      </c>
      <c r="O16" s="2" t="s">
        <v>37</v>
      </c>
      <c r="P16" s="2" t="s">
        <v>37</v>
      </c>
      <c r="Q16" s="2" t="s">
        <v>37</v>
      </c>
      <c r="R16" s="2" t="s">
        <v>37</v>
      </c>
      <c r="S16" s="2" t="s">
        <v>38</v>
      </c>
      <c r="T16" s="2" t="s">
        <v>37</v>
      </c>
      <c r="U16" s="2" t="s">
        <v>39</v>
      </c>
      <c r="V16" s="2" t="s">
        <v>37</v>
      </c>
      <c r="W16" s="2"/>
      <c r="X16" s="2" t="s">
        <v>40</v>
      </c>
      <c r="Y16" s="2" t="s">
        <v>172</v>
      </c>
      <c r="Z16" s="2" t="s">
        <v>42</v>
      </c>
    </row>
    <row r="17" spans="1:26" ht="70.05" customHeight="1" x14ac:dyDescent="0.3">
      <c r="A17" s="2" t="s">
        <v>173</v>
      </c>
      <c r="B17" s="2" t="s">
        <v>174</v>
      </c>
      <c r="C17" s="2" t="s">
        <v>175</v>
      </c>
      <c r="D17" s="2" t="s">
        <v>176</v>
      </c>
      <c r="E17" s="2" t="s">
        <v>177</v>
      </c>
      <c r="F17" s="2" t="s">
        <v>178</v>
      </c>
      <c r="G17" s="2" t="s">
        <v>179</v>
      </c>
      <c r="H17" s="2" t="s">
        <v>180</v>
      </c>
      <c r="I17" s="2" t="s">
        <v>181</v>
      </c>
      <c r="J17" s="2" t="s">
        <v>35</v>
      </c>
      <c r="K17" s="2"/>
      <c r="L17" s="2" t="s">
        <v>36</v>
      </c>
      <c r="M17" s="2" t="s">
        <v>37</v>
      </c>
      <c r="N17" s="2" t="s">
        <v>37</v>
      </c>
      <c r="O17" s="2" t="s">
        <v>37</v>
      </c>
      <c r="P17" s="2" t="s">
        <v>37</v>
      </c>
      <c r="Q17" s="2" t="s">
        <v>37</v>
      </c>
      <c r="R17" s="2" t="s">
        <v>37</v>
      </c>
      <c r="S17" s="2" t="s">
        <v>38</v>
      </c>
      <c r="T17" s="2" t="s">
        <v>37</v>
      </c>
      <c r="U17" s="2" t="s">
        <v>39</v>
      </c>
      <c r="V17" s="2" t="s">
        <v>37</v>
      </c>
      <c r="W17" s="2"/>
      <c r="X17" s="2" t="s">
        <v>40</v>
      </c>
      <c r="Y17" s="2" t="s">
        <v>182</v>
      </c>
      <c r="Z17" s="2" t="s">
        <v>42</v>
      </c>
    </row>
    <row r="18" spans="1:26" ht="70.05" customHeight="1" x14ac:dyDescent="0.3">
      <c r="A18" s="2" t="s">
        <v>183</v>
      </c>
      <c r="B18" s="2" t="s">
        <v>184</v>
      </c>
      <c r="C18" s="2" t="s">
        <v>185</v>
      </c>
      <c r="D18" s="2" t="s">
        <v>185</v>
      </c>
      <c r="E18" s="2" t="s">
        <v>186</v>
      </c>
      <c r="F18" s="2" t="s">
        <v>187</v>
      </c>
      <c r="G18" s="2" t="s">
        <v>188</v>
      </c>
      <c r="H18" s="2" t="s">
        <v>189</v>
      </c>
      <c r="I18" s="2" t="s">
        <v>190</v>
      </c>
      <c r="J18" s="2" t="s">
        <v>35</v>
      </c>
      <c r="K18" s="2"/>
      <c r="L18" s="2" t="s">
        <v>36</v>
      </c>
      <c r="M18" s="2" t="s">
        <v>37</v>
      </c>
      <c r="N18" s="2" t="s">
        <v>37</v>
      </c>
      <c r="O18" s="2" t="s">
        <v>37</v>
      </c>
      <c r="P18" s="2" t="s">
        <v>37</v>
      </c>
      <c r="Q18" s="2" t="s">
        <v>37</v>
      </c>
      <c r="R18" s="2" t="s">
        <v>37</v>
      </c>
      <c r="S18" s="2" t="s">
        <v>38</v>
      </c>
      <c r="T18" s="2" t="s">
        <v>37</v>
      </c>
      <c r="U18" s="2" t="s">
        <v>39</v>
      </c>
      <c r="V18" s="2" t="s">
        <v>37</v>
      </c>
      <c r="W18" s="2"/>
      <c r="X18" s="2" t="s">
        <v>40</v>
      </c>
      <c r="Y18" s="2" t="s">
        <v>191</v>
      </c>
      <c r="Z18" s="2" t="s">
        <v>42</v>
      </c>
    </row>
    <row r="19" spans="1:26" ht="70.05" customHeight="1" x14ac:dyDescent="0.3">
      <c r="A19" s="2" t="s">
        <v>192</v>
      </c>
      <c r="B19" s="2" t="s">
        <v>193</v>
      </c>
      <c r="C19" s="2" t="s">
        <v>194</v>
      </c>
      <c r="D19" s="2" t="s">
        <v>195</v>
      </c>
      <c r="E19" s="2" t="s">
        <v>196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35</v>
      </c>
      <c r="K19" s="2"/>
      <c r="L19" s="2" t="s">
        <v>36</v>
      </c>
      <c r="M19" s="2" t="s">
        <v>37</v>
      </c>
      <c r="N19" s="2" t="s">
        <v>37</v>
      </c>
      <c r="O19" s="2" t="s">
        <v>37</v>
      </c>
      <c r="P19" s="2" t="s">
        <v>37</v>
      </c>
      <c r="Q19" s="2" t="s">
        <v>37</v>
      </c>
      <c r="R19" s="2" t="s">
        <v>37</v>
      </c>
      <c r="S19" s="2" t="s">
        <v>38</v>
      </c>
      <c r="T19" s="2" t="s">
        <v>37</v>
      </c>
      <c r="U19" s="2" t="s">
        <v>39</v>
      </c>
      <c r="V19" s="2" t="s">
        <v>37</v>
      </c>
      <c r="W19" s="2"/>
      <c r="X19" s="2" t="s">
        <v>40</v>
      </c>
      <c r="Y19" s="2" t="s">
        <v>201</v>
      </c>
      <c r="Z19" s="2" t="s">
        <v>42</v>
      </c>
    </row>
    <row r="20" spans="1:26" ht="70.05" customHeight="1" x14ac:dyDescent="0.3">
      <c r="A20" s="2" t="s">
        <v>202</v>
      </c>
      <c r="B20" s="2" t="s">
        <v>203</v>
      </c>
      <c r="C20" s="2" t="s">
        <v>204</v>
      </c>
      <c r="D20" s="2" t="s">
        <v>204</v>
      </c>
      <c r="E20" s="2" t="s">
        <v>205</v>
      </c>
      <c r="F20" s="2" t="s">
        <v>206</v>
      </c>
      <c r="G20" s="2" t="s">
        <v>207</v>
      </c>
      <c r="H20" s="2" t="s">
        <v>208</v>
      </c>
      <c r="I20" s="2" t="s">
        <v>209</v>
      </c>
      <c r="J20" s="2" t="s">
        <v>35</v>
      </c>
      <c r="K20" s="2"/>
      <c r="L20" s="2" t="s">
        <v>36</v>
      </c>
      <c r="M20" s="2" t="s">
        <v>37</v>
      </c>
      <c r="N20" s="2" t="s">
        <v>37</v>
      </c>
      <c r="O20" s="2" t="s">
        <v>37</v>
      </c>
      <c r="P20" s="2" t="s">
        <v>37</v>
      </c>
      <c r="Q20" s="2" t="s">
        <v>37</v>
      </c>
      <c r="R20" s="2" t="s">
        <v>37</v>
      </c>
      <c r="S20" s="2" t="s">
        <v>38</v>
      </c>
      <c r="T20" s="2" t="s">
        <v>37</v>
      </c>
      <c r="U20" s="2" t="s">
        <v>39</v>
      </c>
      <c r="V20" s="2" t="s">
        <v>37</v>
      </c>
      <c r="W20" s="2"/>
      <c r="X20" s="2" t="s">
        <v>40</v>
      </c>
      <c r="Y20" s="2" t="s">
        <v>210</v>
      </c>
      <c r="Z20" s="2" t="s">
        <v>42</v>
      </c>
    </row>
    <row r="21" spans="1:26" ht="70.05" customHeight="1" x14ac:dyDescent="0.3">
      <c r="A21" s="2" t="s">
        <v>211</v>
      </c>
      <c r="B21" s="2" t="s">
        <v>212</v>
      </c>
      <c r="C21" s="2" t="s">
        <v>213</v>
      </c>
      <c r="D21" s="2" t="s">
        <v>214</v>
      </c>
      <c r="E21" s="2" t="s">
        <v>215</v>
      </c>
      <c r="F21" s="2" t="s">
        <v>216</v>
      </c>
      <c r="G21" s="2" t="s">
        <v>217</v>
      </c>
      <c r="H21" s="2" t="s">
        <v>218</v>
      </c>
      <c r="I21" s="2" t="s">
        <v>219</v>
      </c>
      <c r="J21" s="2" t="s">
        <v>35</v>
      </c>
      <c r="K21" s="2"/>
      <c r="L21" s="2" t="s">
        <v>36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38</v>
      </c>
      <c r="T21" s="2" t="s">
        <v>37</v>
      </c>
      <c r="U21" s="2" t="s">
        <v>39</v>
      </c>
      <c r="V21" s="2" t="s">
        <v>37</v>
      </c>
      <c r="W21" s="2"/>
      <c r="X21" s="2" t="s">
        <v>40</v>
      </c>
      <c r="Y21" s="2" t="s">
        <v>220</v>
      </c>
      <c r="Z21" s="2" t="s">
        <v>42</v>
      </c>
    </row>
    <row r="22" spans="1:26" ht="70.05" customHeight="1" x14ac:dyDescent="0.3">
      <c r="A22" s="2" t="s">
        <v>221</v>
      </c>
      <c r="B22" s="2" t="s">
        <v>222</v>
      </c>
      <c r="C22" s="2" t="s">
        <v>223</v>
      </c>
      <c r="D22" s="2" t="s">
        <v>224</v>
      </c>
      <c r="E22" s="2" t="s">
        <v>225</v>
      </c>
      <c r="F22" s="2" t="s">
        <v>226</v>
      </c>
      <c r="G22" s="2" t="s">
        <v>227</v>
      </c>
      <c r="H22" s="2" t="s">
        <v>228</v>
      </c>
      <c r="I22" s="2" t="s">
        <v>229</v>
      </c>
      <c r="J22" s="2" t="s">
        <v>35</v>
      </c>
      <c r="K22" s="2"/>
      <c r="L22" s="2" t="s">
        <v>36</v>
      </c>
      <c r="M22" s="2" t="s">
        <v>37</v>
      </c>
      <c r="N22" s="2" t="s">
        <v>37</v>
      </c>
      <c r="O22" s="2" t="s">
        <v>37</v>
      </c>
      <c r="P22" s="2" t="s">
        <v>37</v>
      </c>
      <c r="Q22" s="2" t="s">
        <v>37</v>
      </c>
      <c r="R22" s="2" t="s">
        <v>37</v>
      </c>
      <c r="S22" s="2" t="s">
        <v>38</v>
      </c>
      <c r="T22" s="2" t="s">
        <v>37</v>
      </c>
      <c r="U22" s="2" t="s">
        <v>39</v>
      </c>
      <c r="V22" s="2" t="s">
        <v>37</v>
      </c>
      <c r="W22" s="2"/>
      <c r="X22" s="2" t="s">
        <v>40</v>
      </c>
      <c r="Y22" s="2" t="s">
        <v>230</v>
      </c>
      <c r="Z22" s="2" t="s">
        <v>42</v>
      </c>
    </row>
    <row r="23" spans="1:26" ht="70.05" customHeight="1" x14ac:dyDescent="0.3">
      <c r="A23" s="2" t="s">
        <v>231</v>
      </c>
      <c r="B23" s="2" t="s">
        <v>232</v>
      </c>
      <c r="C23" s="2" t="s">
        <v>233</v>
      </c>
      <c r="D23" s="2" t="s">
        <v>127</v>
      </c>
      <c r="E23" s="2" t="s">
        <v>234</v>
      </c>
      <c r="F23" s="2" t="s">
        <v>235</v>
      </c>
      <c r="G23" s="2" t="s">
        <v>236</v>
      </c>
      <c r="H23" s="2" t="s">
        <v>237</v>
      </c>
      <c r="I23" s="2" t="s">
        <v>238</v>
      </c>
      <c r="J23" s="2" t="s">
        <v>35</v>
      </c>
      <c r="K23" s="2"/>
      <c r="L23" s="2" t="s">
        <v>36</v>
      </c>
      <c r="M23" s="2" t="s">
        <v>37</v>
      </c>
      <c r="N23" s="2" t="s">
        <v>37</v>
      </c>
      <c r="O23" s="2" t="s">
        <v>37</v>
      </c>
      <c r="P23" s="2" t="s">
        <v>37</v>
      </c>
      <c r="Q23" s="2" t="s">
        <v>37</v>
      </c>
      <c r="R23" s="2" t="s">
        <v>37</v>
      </c>
      <c r="S23" s="2" t="s">
        <v>38</v>
      </c>
      <c r="T23" s="2" t="s">
        <v>37</v>
      </c>
      <c r="U23" s="2" t="s">
        <v>39</v>
      </c>
      <c r="V23" s="2" t="s">
        <v>37</v>
      </c>
      <c r="W23" s="2"/>
      <c r="X23" s="2" t="s">
        <v>40</v>
      </c>
      <c r="Y23" s="2" t="s">
        <v>239</v>
      </c>
      <c r="Z23" s="2" t="s">
        <v>42</v>
      </c>
    </row>
    <row r="24" spans="1:26" ht="70.05" customHeight="1" x14ac:dyDescent="0.3">
      <c r="A24" s="2" t="s">
        <v>240</v>
      </c>
      <c r="B24" s="2" t="s">
        <v>241</v>
      </c>
      <c r="C24" s="2" t="s">
        <v>242</v>
      </c>
      <c r="D24" s="2" t="s">
        <v>243</v>
      </c>
      <c r="E24" s="2" t="s">
        <v>244</v>
      </c>
      <c r="F24" s="2" t="s">
        <v>245</v>
      </c>
      <c r="G24" s="2" t="s">
        <v>246</v>
      </c>
      <c r="H24" s="2" t="s">
        <v>247</v>
      </c>
      <c r="I24" s="2" t="s">
        <v>248</v>
      </c>
      <c r="J24" s="2" t="s">
        <v>35</v>
      </c>
      <c r="K24" s="2"/>
      <c r="L24" s="2" t="s">
        <v>36</v>
      </c>
      <c r="M24" s="2" t="s">
        <v>37</v>
      </c>
      <c r="N24" s="2" t="s">
        <v>37</v>
      </c>
      <c r="O24" s="2" t="s">
        <v>37</v>
      </c>
      <c r="P24" s="2" t="s">
        <v>37</v>
      </c>
      <c r="Q24" s="2" t="s">
        <v>37</v>
      </c>
      <c r="R24" s="2" t="s">
        <v>37</v>
      </c>
      <c r="S24" s="2" t="s">
        <v>38</v>
      </c>
      <c r="T24" s="2" t="s">
        <v>37</v>
      </c>
      <c r="U24" s="2" t="s">
        <v>39</v>
      </c>
      <c r="V24" s="2" t="s">
        <v>37</v>
      </c>
      <c r="W24" s="2"/>
      <c r="X24" s="2" t="s">
        <v>40</v>
      </c>
      <c r="Y24" s="2" t="s">
        <v>249</v>
      </c>
      <c r="Z24" s="2" t="s">
        <v>42</v>
      </c>
    </row>
    <row r="25" spans="1:26" ht="70.05" customHeight="1" x14ac:dyDescent="0.3">
      <c r="A25" s="2" t="s">
        <v>250</v>
      </c>
      <c r="B25" s="2" t="s">
        <v>251</v>
      </c>
      <c r="C25" s="2" t="s">
        <v>252</v>
      </c>
      <c r="D25" s="2" t="s">
        <v>252</v>
      </c>
      <c r="E25" s="2" t="s">
        <v>253</v>
      </c>
      <c r="F25" s="2" t="s">
        <v>254</v>
      </c>
      <c r="G25" s="2" t="s">
        <v>255</v>
      </c>
      <c r="H25" s="2" t="s">
        <v>256</v>
      </c>
      <c r="I25" s="2" t="s">
        <v>257</v>
      </c>
      <c r="J25" s="2" t="s">
        <v>35</v>
      </c>
      <c r="K25" s="2"/>
      <c r="L25" s="2" t="s">
        <v>36</v>
      </c>
      <c r="M25" s="2" t="s">
        <v>37</v>
      </c>
      <c r="N25" s="2" t="s">
        <v>37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38</v>
      </c>
      <c r="T25" s="2" t="s">
        <v>37</v>
      </c>
      <c r="U25" s="2" t="s">
        <v>39</v>
      </c>
      <c r="V25" s="2" t="s">
        <v>37</v>
      </c>
      <c r="W25" s="2"/>
      <c r="X25" s="2" t="s">
        <v>40</v>
      </c>
      <c r="Y25" s="2" t="s">
        <v>258</v>
      </c>
      <c r="Z25" s="2" t="s">
        <v>42</v>
      </c>
    </row>
    <row r="26" spans="1:26" ht="70.05" customHeight="1" x14ac:dyDescent="0.3">
      <c r="A26" s="2" t="s">
        <v>259</v>
      </c>
      <c r="B26" s="2" t="s">
        <v>260</v>
      </c>
      <c r="C26" s="2" t="s">
        <v>261</v>
      </c>
      <c r="D26" s="2" t="s">
        <v>262</v>
      </c>
      <c r="E26" s="2" t="s">
        <v>263</v>
      </c>
      <c r="F26" s="2" t="s">
        <v>264</v>
      </c>
      <c r="G26" s="2" t="s">
        <v>265</v>
      </c>
      <c r="H26" s="2" t="s">
        <v>266</v>
      </c>
      <c r="I26" s="2" t="s">
        <v>267</v>
      </c>
      <c r="J26" s="2" t="s">
        <v>35</v>
      </c>
      <c r="K26" s="2"/>
      <c r="L26" s="2" t="s">
        <v>36</v>
      </c>
      <c r="M26" s="2" t="s">
        <v>37</v>
      </c>
      <c r="N26" s="2" t="s">
        <v>37</v>
      </c>
      <c r="O26" s="2" t="s">
        <v>37</v>
      </c>
      <c r="P26" s="2" t="s">
        <v>37</v>
      </c>
      <c r="Q26" s="2" t="s">
        <v>37</v>
      </c>
      <c r="R26" s="2" t="s">
        <v>37</v>
      </c>
      <c r="S26" s="2" t="s">
        <v>38</v>
      </c>
      <c r="T26" s="2" t="s">
        <v>37</v>
      </c>
      <c r="U26" s="2" t="s">
        <v>39</v>
      </c>
      <c r="V26" s="2" t="s">
        <v>37</v>
      </c>
      <c r="W26" s="2"/>
      <c r="X26" s="2" t="s">
        <v>40</v>
      </c>
      <c r="Y26" s="2" t="s">
        <v>268</v>
      </c>
      <c r="Z26" s="2" t="s">
        <v>42</v>
      </c>
    </row>
    <row r="27" spans="1:26" ht="70.05" customHeight="1" x14ac:dyDescent="0.3">
      <c r="A27" s="2" t="s">
        <v>269</v>
      </c>
      <c r="B27" s="2" t="s">
        <v>270</v>
      </c>
      <c r="C27" s="2" t="s">
        <v>271</v>
      </c>
      <c r="D27" s="2" t="s">
        <v>224</v>
      </c>
      <c r="E27" s="2" t="s">
        <v>272</v>
      </c>
      <c r="F27" s="2" t="s">
        <v>273</v>
      </c>
      <c r="G27" s="2" t="s">
        <v>274</v>
      </c>
      <c r="H27" s="2" t="s">
        <v>275</v>
      </c>
      <c r="I27" s="2" t="s">
        <v>276</v>
      </c>
      <c r="J27" s="2" t="s">
        <v>35</v>
      </c>
      <c r="K27" s="2"/>
      <c r="L27" s="2" t="s">
        <v>36</v>
      </c>
      <c r="M27" s="2" t="s">
        <v>37</v>
      </c>
      <c r="N27" s="2" t="s">
        <v>37</v>
      </c>
      <c r="O27" s="2" t="s">
        <v>37</v>
      </c>
      <c r="P27" s="2" t="s">
        <v>37</v>
      </c>
      <c r="Q27" s="2" t="s">
        <v>37</v>
      </c>
      <c r="R27" s="2" t="s">
        <v>37</v>
      </c>
      <c r="S27" s="2" t="s">
        <v>38</v>
      </c>
      <c r="T27" s="2" t="s">
        <v>37</v>
      </c>
      <c r="U27" s="2" t="s">
        <v>39</v>
      </c>
      <c r="V27" s="2" t="s">
        <v>37</v>
      </c>
      <c r="W27" s="2"/>
      <c r="X27" s="2" t="s">
        <v>40</v>
      </c>
      <c r="Y27" s="2" t="s">
        <v>277</v>
      </c>
      <c r="Z27" s="2" t="s">
        <v>42</v>
      </c>
    </row>
    <row r="28" spans="1:26" ht="70.05" customHeight="1" x14ac:dyDescent="0.3">
      <c r="A28" s="2" t="s">
        <v>278</v>
      </c>
      <c r="B28" s="2" t="s">
        <v>279</v>
      </c>
      <c r="C28" s="2" t="s">
        <v>280</v>
      </c>
      <c r="D28" s="2" t="s">
        <v>166</v>
      </c>
      <c r="E28" s="2" t="s">
        <v>281</v>
      </c>
      <c r="F28" s="2" t="s">
        <v>282</v>
      </c>
      <c r="G28" s="2" t="s">
        <v>283</v>
      </c>
      <c r="H28" s="2" t="s">
        <v>284</v>
      </c>
      <c r="I28" s="2" t="s">
        <v>285</v>
      </c>
      <c r="J28" s="2" t="s">
        <v>35</v>
      </c>
      <c r="K28" s="2"/>
      <c r="L28" s="2" t="s">
        <v>36</v>
      </c>
      <c r="M28" s="2" t="s">
        <v>37</v>
      </c>
      <c r="N28" s="2" t="s">
        <v>37</v>
      </c>
      <c r="O28" s="2" t="s">
        <v>37</v>
      </c>
      <c r="P28" s="2" t="s">
        <v>37</v>
      </c>
      <c r="Q28" s="2" t="s">
        <v>37</v>
      </c>
      <c r="R28" s="2" t="s">
        <v>37</v>
      </c>
      <c r="S28" s="2" t="s">
        <v>38</v>
      </c>
      <c r="T28" s="2" t="s">
        <v>37</v>
      </c>
      <c r="U28" s="2" t="s">
        <v>39</v>
      </c>
      <c r="V28" s="2" t="s">
        <v>37</v>
      </c>
      <c r="W28" s="2"/>
      <c r="X28" s="2" t="s">
        <v>40</v>
      </c>
      <c r="Y28" s="2" t="s">
        <v>286</v>
      </c>
      <c r="Z28" s="2" t="s">
        <v>42</v>
      </c>
    </row>
    <row r="29" spans="1:26" ht="70.05" customHeight="1" x14ac:dyDescent="0.3">
      <c r="A29" s="2" t="s">
        <v>287</v>
      </c>
      <c r="B29" s="2" t="s">
        <v>288</v>
      </c>
      <c r="C29" s="2" t="s">
        <v>289</v>
      </c>
      <c r="D29" s="2" t="s">
        <v>156</v>
      </c>
      <c r="E29" s="2" t="s">
        <v>290</v>
      </c>
      <c r="F29" s="2" t="s">
        <v>291</v>
      </c>
      <c r="G29" s="2" t="s">
        <v>292</v>
      </c>
      <c r="H29" s="2" t="s">
        <v>293</v>
      </c>
      <c r="I29" s="2" t="s">
        <v>294</v>
      </c>
      <c r="J29" s="2" t="s">
        <v>35</v>
      </c>
      <c r="K29" s="2"/>
      <c r="L29" s="2" t="s">
        <v>36</v>
      </c>
      <c r="M29" s="2" t="s">
        <v>37</v>
      </c>
      <c r="N29" s="2" t="s">
        <v>37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38</v>
      </c>
      <c r="T29" s="2" t="s">
        <v>37</v>
      </c>
      <c r="U29" s="2" t="s">
        <v>39</v>
      </c>
      <c r="V29" s="2" t="s">
        <v>37</v>
      </c>
      <c r="W29" s="2"/>
      <c r="X29" s="2" t="s">
        <v>40</v>
      </c>
      <c r="Y29" s="2" t="s">
        <v>295</v>
      </c>
      <c r="Z29" s="2" t="s">
        <v>42</v>
      </c>
    </row>
    <row r="30" spans="1:26" ht="70.05" customHeight="1" x14ac:dyDescent="0.3">
      <c r="A30" s="2" t="s">
        <v>296</v>
      </c>
      <c r="B30" s="2" t="s">
        <v>297</v>
      </c>
      <c r="C30" s="2" t="s">
        <v>176</v>
      </c>
      <c r="D30" s="2" t="s">
        <v>176</v>
      </c>
      <c r="E30" s="2" t="s">
        <v>298</v>
      </c>
      <c r="F30" s="2" t="s">
        <v>299</v>
      </c>
      <c r="G30" s="2" t="s">
        <v>300</v>
      </c>
      <c r="H30" s="2" t="s">
        <v>301</v>
      </c>
      <c r="I30" s="2" t="s">
        <v>302</v>
      </c>
      <c r="J30" s="2" t="s">
        <v>35</v>
      </c>
      <c r="K30" s="2"/>
      <c r="L30" s="2" t="s">
        <v>36</v>
      </c>
      <c r="M30" s="2" t="s">
        <v>37</v>
      </c>
      <c r="N30" s="2" t="s">
        <v>37</v>
      </c>
      <c r="O30" s="2" t="s">
        <v>37</v>
      </c>
      <c r="P30" s="2" t="s">
        <v>37</v>
      </c>
      <c r="Q30" s="2" t="s">
        <v>37</v>
      </c>
      <c r="R30" s="2" t="s">
        <v>37</v>
      </c>
      <c r="S30" s="2" t="s">
        <v>38</v>
      </c>
      <c r="T30" s="2" t="s">
        <v>37</v>
      </c>
      <c r="U30" s="2" t="s">
        <v>39</v>
      </c>
      <c r="V30" s="2" t="s">
        <v>37</v>
      </c>
      <c r="W30" s="2"/>
      <c r="X30" s="2" t="s">
        <v>40</v>
      </c>
      <c r="Y30" s="2" t="s">
        <v>303</v>
      </c>
      <c r="Z30" s="2" t="s">
        <v>42</v>
      </c>
    </row>
    <row r="31" spans="1:26" ht="70.05" customHeight="1" x14ac:dyDescent="0.3">
      <c r="A31" s="2" t="s">
        <v>304</v>
      </c>
      <c r="B31" s="2" t="s">
        <v>305</v>
      </c>
      <c r="C31" s="2" t="s">
        <v>306</v>
      </c>
      <c r="D31" s="2" t="s">
        <v>306</v>
      </c>
      <c r="E31" s="2" t="s">
        <v>307</v>
      </c>
      <c r="F31" s="2" t="s">
        <v>308</v>
      </c>
      <c r="G31" s="2" t="s">
        <v>309</v>
      </c>
      <c r="H31" s="2" t="s">
        <v>310</v>
      </c>
      <c r="I31" s="2" t="s">
        <v>311</v>
      </c>
      <c r="J31" s="2" t="s">
        <v>35</v>
      </c>
      <c r="K31" s="2"/>
      <c r="L31" s="2" t="s">
        <v>36</v>
      </c>
      <c r="M31" s="2" t="s">
        <v>37</v>
      </c>
      <c r="N31" s="2" t="s">
        <v>37</v>
      </c>
      <c r="O31" s="2" t="s">
        <v>37</v>
      </c>
      <c r="P31" s="2" t="s">
        <v>37</v>
      </c>
      <c r="Q31" s="2" t="s">
        <v>37</v>
      </c>
      <c r="R31" s="2" t="s">
        <v>37</v>
      </c>
      <c r="S31" s="2" t="s">
        <v>38</v>
      </c>
      <c r="T31" s="2" t="s">
        <v>37</v>
      </c>
      <c r="U31" s="2" t="s">
        <v>39</v>
      </c>
      <c r="V31" s="2" t="s">
        <v>37</v>
      </c>
      <c r="W31" s="2"/>
      <c r="X31" s="2" t="s">
        <v>40</v>
      </c>
      <c r="Y31" s="2" t="s">
        <v>312</v>
      </c>
      <c r="Z31" s="2" t="s">
        <v>42</v>
      </c>
    </row>
  </sheetData>
  <dataValidations count="8">
    <dataValidation type="list" allowBlank="1" sqref="M2:M31" xr:uid="{00000000-0002-0000-0000-000000000000}">
      <formula1>"Current,Outdated,Expired,Pending"</formula1>
    </dataValidation>
    <dataValidation type="list" allowBlank="1" sqref="N2:N31" xr:uid="{00000000-0002-0000-0000-000001000000}">
      <formula1>"Relevant,Partially Relevant,Not Relevant,Pending"</formula1>
    </dataValidation>
    <dataValidation type="list" allowBlank="1" sqref="O2:O31" xr:uid="{00000000-0002-0000-0000-000002000000}">
      <formula1>"Complete,Partial,Incomplete,Pending"</formula1>
    </dataValidation>
    <dataValidation type="list" allowBlank="1" sqref="P2:P31" xr:uid="{00000000-0002-0000-0000-000003000000}">
      <formula1>"Verified,Questionable,Rejected,Pending"</formula1>
    </dataValidation>
    <dataValidation type="list" allowBlank="1" sqref="Q2:Q31" xr:uid="{00000000-0002-0000-0000-000004000000}">
      <formula1>"Traceable,Partially Traceable,Not Traceable,Pending"</formula1>
    </dataValidation>
    <dataValidation type="list" allowBlank="1" sqref="R2:R31" xr:uid="{00000000-0002-0000-0000-000005000000}">
      <formula1>"Available,Pending,Rejected,Superseded,Not Applicable"</formula1>
    </dataValidation>
    <dataValidation type="list" allowBlank="1" sqref="V2:V31" xr:uid="{00000000-0002-0000-0000-000006000000}">
      <formula1>"Pending,In Progress,Verified,Rejected,Not Applicable"</formula1>
    </dataValidation>
    <dataValidation type="list" allowBlank="1" sqref="X2:X31" xr:uid="{00000000-0002-0000-0000-000007000000}">
      <formula1>"Public,Internal,Confidential,Restricted"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C8"/>
  <sheetViews>
    <sheetView workbookViewId="0">
      <selection activeCell="B20" sqref="B20"/>
    </sheetView>
  </sheetViews>
  <sheetFormatPr defaultRowHeight="14.4" x14ac:dyDescent="0.3"/>
  <cols>
    <col min="1" max="1" width="34" customWidth="1"/>
    <col min="2" max="2" width="28" customWidth="1"/>
    <col min="3" max="3" width="90" customWidth="1"/>
  </cols>
  <sheetData>
    <row r="1" spans="1:3" x14ac:dyDescent="0.3">
      <c r="A1" s="3" t="s">
        <v>313</v>
      </c>
      <c r="B1" s="3" t="s">
        <v>314</v>
      </c>
      <c r="C1" s="3" t="s">
        <v>315</v>
      </c>
    </row>
    <row r="2" spans="1:3" x14ac:dyDescent="0.3">
      <c r="A2" s="2" t="s">
        <v>316</v>
      </c>
      <c r="B2" s="2">
        <v>30</v>
      </c>
      <c r="C2" s="2" t="s">
        <v>317</v>
      </c>
    </row>
    <row r="3" spans="1:3" x14ac:dyDescent="0.3">
      <c r="A3" s="2" t="s">
        <v>318</v>
      </c>
      <c r="B3" s="2">
        <v>30</v>
      </c>
      <c r="C3" s="2" t="s">
        <v>319</v>
      </c>
    </row>
    <row r="4" spans="1:3" x14ac:dyDescent="0.3">
      <c r="A4" s="2" t="s">
        <v>320</v>
      </c>
      <c r="B4" s="2">
        <f>COUNTIF('Evidence Index'!R:R,"Available")</f>
        <v>0</v>
      </c>
      <c r="C4" s="2" t="s">
        <v>321</v>
      </c>
    </row>
    <row r="5" spans="1:3" x14ac:dyDescent="0.3">
      <c r="A5" s="2" t="s">
        <v>322</v>
      </c>
      <c r="B5" s="2">
        <f>COUNTIF('Evidence Index'!R:R,"Pending")</f>
        <v>30</v>
      </c>
      <c r="C5" s="2" t="s">
        <v>323</v>
      </c>
    </row>
    <row r="6" spans="1:3" x14ac:dyDescent="0.3">
      <c r="A6" s="2" t="s">
        <v>324</v>
      </c>
      <c r="B6" s="2">
        <f>COUNTIF('Evidence Index'!R:R,"Rejected")</f>
        <v>0</v>
      </c>
      <c r="C6" s="2" t="s">
        <v>325</v>
      </c>
    </row>
    <row r="7" spans="1:3" x14ac:dyDescent="0.3">
      <c r="A7" s="2" t="s">
        <v>326</v>
      </c>
      <c r="B7" s="2">
        <f>COUNTIF('Evidence Index'!V:V,"Pending")</f>
        <v>30</v>
      </c>
      <c r="C7" s="2" t="s">
        <v>327</v>
      </c>
    </row>
    <row r="8" spans="1:3" ht="28.8" x14ac:dyDescent="0.3">
      <c r="A8" s="2" t="s">
        <v>328</v>
      </c>
      <c r="B8" s="2" t="s">
        <v>329</v>
      </c>
      <c r="C8" s="2" t="s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9"/>
  <sheetViews>
    <sheetView workbookViewId="0">
      <selection activeCell="B20" sqref="B20"/>
    </sheetView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3" t="s">
        <v>331</v>
      </c>
      <c r="B1" s="3" t="s">
        <v>332</v>
      </c>
    </row>
    <row r="2" spans="1:2" x14ac:dyDescent="0.3">
      <c r="A2" s="2" t="s">
        <v>333</v>
      </c>
      <c r="B2" s="2" t="s">
        <v>334</v>
      </c>
    </row>
    <row r="3" spans="1:2" x14ac:dyDescent="0.3">
      <c r="A3" s="2" t="s">
        <v>335</v>
      </c>
      <c r="B3" s="2" t="s">
        <v>336</v>
      </c>
    </row>
    <row r="4" spans="1:2" x14ac:dyDescent="0.3">
      <c r="A4" s="2" t="s">
        <v>337</v>
      </c>
      <c r="B4" s="2" t="s">
        <v>338</v>
      </c>
    </row>
    <row r="5" spans="1:2" x14ac:dyDescent="0.3">
      <c r="A5" s="2" t="s">
        <v>339</v>
      </c>
      <c r="B5" s="2" t="s">
        <v>340</v>
      </c>
    </row>
    <row r="6" spans="1:2" x14ac:dyDescent="0.3">
      <c r="A6" s="2" t="s">
        <v>341</v>
      </c>
      <c r="B6" s="2" t="s">
        <v>342</v>
      </c>
    </row>
    <row r="7" spans="1:2" x14ac:dyDescent="0.3">
      <c r="A7" s="2" t="s">
        <v>343</v>
      </c>
      <c r="B7" s="2" t="s">
        <v>344</v>
      </c>
    </row>
    <row r="8" spans="1:2" x14ac:dyDescent="0.3">
      <c r="A8" s="2" t="s">
        <v>345</v>
      </c>
      <c r="B8" s="2" t="s">
        <v>346</v>
      </c>
    </row>
    <row r="9" spans="1:2" x14ac:dyDescent="0.3">
      <c r="A9" s="2" t="s">
        <v>347</v>
      </c>
      <c r="B9" s="2" t="s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B27"/>
  <sheetViews>
    <sheetView tabSelected="1" workbookViewId="0">
      <selection activeCell="F7" sqref="F7"/>
    </sheetView>
  </sheetViews>
  <sheetFormatPr defaultRowHeight="14.4" x14ac:dyDescent="0.3"/>
  <cols>
    <col min="1" max="1" width="35" customWidth="1"/>
    <col min="2" max="2" width="110" customWidth="1"/>
  </cols>
  <sheetData>
    <row r="1" spans="1:2" x14ac:dyDescent="0.3">
      <c r="A1" s="3" t="s">
        <v>349</v>
      </c>
      <c r="B1" s="3" t="s">
        <v>350</v>
      </c>
    </row>
    <row r="2" spans="1:2" x14ac:dyDescent="0.3">
      <c r="A2" s="2" t="s">
        <v>0</v>
      </c>
      <c r="B2" s="2" t="s">
        <v>351</v>
      </c>
    </row>
    <row r="3" spans="1:2" x14ac:dyDescent="0.3">
      <c r="A3" s="2" t="s">
        <v>1</v>
      </c>
      <c r="B3" s="2" t="s">
        <v>351</v>
      </c>
    </row>
    <row r="4" spans="1:2" x14ac:dyDescent="0.3">
      <c r="A4" s="2" t="s">
        <v>2</v>
      </c>
      <c r="B4" s="2" t="s">
        <v>351</v>
      </c>
    </row>
    <row r="5" spans="1:2" x14ac:dyDescent="0.3">
      <c r="A5" s="2" t="s">
        <v>3</v>
      </c>
      <c r="B5" s="2" t="s">
        <v>351</v>
      </c>
    </row>
    <row r="6" spans="1:2" x14ac:dyDescent="0.3">
      <c r="A6" s="2" t="s">
        <v>4</v>
      </c>
      <c r="B6" s="2" t="s">
        <v>351</v>
      </c>
    </row>
    <row r="7" spans="1:2" x14ac:dyDescent="0.3">
      <c r="A7" s="2" t="s">
        <v>5</v>
      </c>
      <c r="B7" s="2" t="s">
        <v>351</v>
      </c>
    </row>
    <row r="8" spans="1:2" x14ac:dyDescent="0.3">
      <c r="A8" s="2" t="s">
        <v>6</v>
      </c>
      <c r="B8" s="2" t="s">
        <v>351</v>
      </c>
    </row>
    <row r="9" spans="1:2" x14ac:dyDescent="0.3">
      <c r="A9" s="2" t="s">
        <v>7</v>
      </c>
      <c r="B9" s="2" t="s">
        <v>351</v>
      </c>
    </row>
    <row r="10" spans="1:2" x14ac:dyDescent="0.3">
      <c r="A10" s="2" t="s">
        <v>8</v>
      </c>
      <c r="B10" s="2" t="s">
        <v>351</v>
      </c>
    </row>
    <row r="11" spans="1:2" x14ac:dyDescent="0.3">
      <c r="A11" s="2" t="s">
        <v>9</v>
      </c>
      <c r="B11" s="2" t="s">
        <v>351</v>
      </c>
    </row>
    <row r="12" spans="1:2" x14ac:dyDescent="0.3">
      <c r="A12" s="2" t="s">
        <v>10</v>
      </c>
      <c r="B12" s="2" t="s">
        <v>351</v>
      </c>
    </row>
    <row r="13" spans="1:2" x14ac:dyDescent="0.3">
      <c r="A13" s="2" t="s">
        <v>11</v>
      </c>
      <c r="B13" s="2" t="s">
        <v>351</v>
      </c>
    </row>
    <row r="14" spans="1:2" x14ac:dyDescent="0.3">
      <c r="A14" s="2" t="s">
        <v>12</v>
      </c>
      <c r="B14" s="2" t="s">
        <v>351</v>
      </c>
    </row>
    <row r="15" spans="1:2" x14ac:dyDescent="0.3">
      <c r="A15" s="2" t="s">
        <v>13</v>
      </c>
      <c r="B15" s="2" t="s">
        <v>351</v>
      </c>
    </row>
    <row r="16" spans="1:2" x14ac:dyDescent="0.3">
      <c r="A16" s="2" t="s">
        <v>14</v>
      </c>
      <c r="B16" s="2" t="s">
        <v>351</v>
      </c>
    </row>
    <row r="17" spans="1:2" x14ac:dyDescent="0.3">
      <c r="A17" s="2" t="s">
        <v>15</v>
      </c>
      <c r="B17" s="2" t="s">
        <v>351</v>
      </c>
    </row>
    <row r="18" spans="1:2" x14ac:dyDescent="0.3">
      <c r="A18" s="2" t="s">
        <v>16</v>
      </c>
      <c r="B18" s="2" t="s">
        <v>351</v>
      </c>
    </row>
    <row r="19" spans="1:2" x14ac:dyDescent="0.3">
      <c r="A19" s="2" t="s">
        <v>17</v>
      </c>
      <c r="B19" s="2" t="s">
        <v>351</v>
      </c>
    </row>
    <row r="20" spans="1:2" x14ac:dyDescent="0.3">
      <c r="A20" s="2" t="s">
        <v>18</v>
      </c>
      <c r="B20" s="2" t="s">
        <v>351</v>
      </c>
    </row>
    <row r="21" spans="1:2" x14ac:dyDescent="0.3">
      <c r="A21" s="2" t="s">
        <v>19</v>
      </c>
      <c r="B21" s="2" t="s">
        <v>351</v>
      </c>
    </row>
    <row r="22" spans="1:2" x14ac:dyDescent="0.3">
      <c r="A22" s="2" t="s">
        <v>20</v>
      </c>
      <c r="B22" s="2" t="s">
        <v>351</v>
      </c>
    </row>
    <row r="23" spans="1:2" x14ac:dyDescent="0.3">
      <c r="A23" s="2" t="s">
        <v>21</v>
      </c>
      <c r="B23" s="2" t="s">
        <v>351</v>
      </c>
    </row>
    <row r="24" spans="1:2" x14ac:dyDescent="0.3">
      <c r="A24" s="2" t="s">
        <v>22</v>
      </c>
      <c r="B24" s="2" t="s">
        <v>351</v>
      </c>
    </row>
    <row r="25" spans="1:2" x14ac:dyDescent="0.3">
      <c r="A25" s="2" t="s">
        <v>23</v>
      </c>
      <c r="B25" s="2" t="s">
        <v>351</v>
      </c>
    </row>
    <row r="26" spans="1:2" x14ac:dyDescent="0.3">
      <c r="A26" s="2" t="s">
        <v>24</v>
      </c>
      <c r="B26" s="2" t="s">
        <v>351</v>
      </c>
    </row>
    <row r="27" spans="1:2" x14ac:dyDescent="0.3">
      <c r="A27" s="2" t="s">
        <v>25</v>
      </c>
      <c r="B27" s="2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Evidence Index</vt:lpstr>
      <vt:lpstr>Evidence Summary</vt:lpstr>
      <vt:lpstr>Evidence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2026-08-25T12:04:05Z</dcterms:created>
  <dcterms:modified xsi:type="dcterms:W3CDTF">2026-08-25T12:10:06Z</dcterms:modified>
</cp:coreProperties>
</file>