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3FEE3B4A-28A3-48AF-86B8-80F587F856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alidation Closure Matrix" sheetId="1" r:id="rId1"/>
    <sheet name="Closure Workflow" sheetId="2" r:id="rId2"/>
    <sheet name="Validation Summary" sheetId="3" r:id="rId3"/>
    <sheet name="Data Diction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</calcChain>
</file>

<file path=xl/sharedStrings.xml><?xml version="1.0" encoding="utf-8"?>
<sst xmlns="http://schemas.openxmlformats.org/spreadsheetml/2006/main" count="860" uniqueCount="361">
  <si>
    <t>Validation ID</t>
  </si>
  <si>
    <t>Evidence ID</t>
  </si>
  <si>
    <t>TPRM Document ID</t>
  </si>
  <si>
    <t>TPRM Activity</t>
  </si>
  <si>
    <t>Vendor ID</t>
  </si>
  <si>
    <t>Vendor Name</t>
  </si>
  <si>
    <t>Requirement / Control</t>
  </si>
  <si>
    <t>Expected Evidence</t>
  </si>
  <si>
    <t>Evidence Received</t>
  </si>
  <si>
    <t>Evidence Date</t>
  </si>
  <si>
    <t>Reviewer</t>
  </si>
  <si>
    <t>Currency</t>
  </si>
  <si>
    <t>Relevance</t>
  </si>
  <si>
    <t>Completeness</t>
  </si>
  <si>
    <t>Authenticity / Reliability</t>
  </si>
  <si>
    <t>Traceability</t>
  </si>
  <si>
    <t>Finding ID</t>
  </si>
  <si>
    <t>Finding / Gap</t>
  </si>
  <si>
    <t>Risk ID</t>
  </si>
  <si>
    <t>Risk Rating</t>
  </si>
  <si>
    <t>Corrective Action</t>
  </si>
  <si>
    <t>Action Owner</t>
  </si>
  <si>
    <t>Target Date</t>
  </si>
  <si>
    <t>Remediation Evidence ID</t>
  </si>
  <si>
    <t>Validation Result</t>
  </si>
  <si>
    <t>Closure Decision</t>
  </si>
  <si>
    <t>Closure Date</t>
  </si>
  <si>
    <t>Final Status</t>
  </si>
  <si>
    <t>Comments</t>
  </si>
  <si>
    <t>VAL-0001</t>
  </si>
  <si>
    <t>EVID-0001</t>
  </si>
  <si>
    <t>TPRM-001</t>
  </si>
  <si>
    <t>TPRM Governance</t>
  </si>
  <si>
    <t>VND-001</t>
  </si>
  <si>
    <t>Portfolio Vendor 01</t>
  </si>
  <si>
    <t>Applicable requirement/control for TPRM Governance</t>
  </si>
  <si>
    <t>Evidence expected for TPRM Governance</t>
  </si>
  <si>
    <t>Pending collection</t>
  </si>
  <si>
    <t>GRC Analyst</t>
  </si>
  <si>
    <t>Pending</t>
  </si>
  <si>
    <t>FND-0001</t>
  </si>
  <si>
    <t>Pending evidence review</t>
  </si>
  <si>
    <t>Define after evidence review</t>
  </si>
  <si>
    <t>Risk / Control Owner</t>
  </si>
  <si>
    <t>Open</t>
  </si>
  <si>
    <t>Portfolio validation record; simulated evidence only.</t>
  </si>
  <si>
    <t>VAL-0002</t>
  </si>
  <si>
    <t>EVID-0002</t>
  </si>
  <si>
    <t>TPRM-002</t>
  </si>
  <si>
    <t>Roles &amp; Responsibilities</t>
  </si>
  <si>
    <t>VND-002</t>
  </si>
  <si>
    <t>Portfolio Vendor 02</t>
  </si>
  <si>
    <t>Applicable requirement/control for Roles &amp; Responsibilities</t>
  </si>
  <si>
    <t>Evidence expected for Roles &amp; Responsibilities</t>
  </si>
  <si>
    <t>FND-0002</t>
  </si>
  <si>
    <t>VAL-0003</t>
  </si>
  <si>
    <t>EVID-0003</t>
  </si>
  <si>
    <t>TPRM-003</t>
  </si>
  <si>
    <t>TPRM Policy</t>
  </si>
  <si>
    <t>VND-003</t>
  </si>
  <si>
    <t>Portfolio Vendor 03</t>
  </si>
  <si>
    <t>Applicable requirement/control for TPRM Policy</t>
  </si>
  <si>
    <t>Evidence expected for TPRM Policy</t>
  </si>
  <si>
    <t>FND-0003</t>
  </si>
  <si>
    <t>VAL-0004</t>
  </si>
  <si>
    <t>EVID-0004</t>
  </si>
  <si>
    <t>TPRM-004</t>
  </si>
  <si>
    <t>Vendor Management Procedure</t>
  </si>
  <si>
    <t>VND-004</t>
  </si>
  <si>
    <t>Portfolio Vendor 04</t>
  </si>
  <si>
    <t>Applicable requirement/control for Vendor Management Procedure</t>
  </si>
  <si>
    <t>Evidence expected for Vendor Management Procedure</t>
  </si>
  <si>
    <t>FND-0004</t>
  </si>
  <si>
    <t>VAL-0005</t>
  </si>
  <si>
    <t>EVID-0005</t>
  </si>
  <si>
    <t>TPRM-005</t>
  </si>
  <si>
    <t>Vendor Lifecycle</t>
  </si>
  <si>
    <t>VND-005</t>
  </si>
  <si>
    <t>Portfolio Vendor 05</t>
  </si>
  <si>
    <t>Applicable requirement/control for Vendor Lifecycle</t>
  </si>
  <si>
    <t>Evidence expected for Vendor Lifecycle</t>
  </si>
  <si>
    <t>FND-0005</t>
  </si>
  <si>
    <t>VAL-0006</t>
  </si>
  <si>
    <t>EVID-0006</t>
  </si>
  <si>
    <t>TPRM-006</t>
  </si>
  <si>
    <t>Vendor Inventory</t>
  </si>
  <si>
    <t>VND-006</t>
  </si>
  <si>
    <t>Portfolio Vendor 06</t>
  </si>
  <si>
    <t>Applicable requirement/control for Vendor Inventory</t>
  </si>
  <si>
    <t>Evidence expected for Vendor Inventory</t>
  </si>
  <si>
    <t>FND-0006</t>
  </si>
  <si>
    <t>VAL-0007</t>
  </si>
  <si>
    <t>EVID-0007</t>
  </si>
  <si>
    <t>TPRM-007</t>
  </si>
  <si>
    <t>Vendor Risk Assessment</t>
  </si>
  <si>
    <t>VND-007</t>
  </si>
  <si>
    <t>Portfolio Vendor 07</t>
  </si>
  <si>
    <t>Applicable requirement/control for Vendor Risk Assessment</t>
  </si>
  <si>
    <t>Evidence expected for Vendor Risk Assessment</t>
  </si>
  <si>
    <t>FND-0007</t>
  </si>
  <si>
    <t>VAL-0008</t>
  </si>
  <si>
    <t>EVID-0008</t>
  </si>
  <si>
    <t>TPRM-008</t>
  </si>
  <si>
    <t>Detailed Risk Assessment</t>
  </si>
  <si>
    <t>VND-008</t>
  </si>
  <si>
    <t>Portfolio Vendor 08</t>
  </si>
  <si>
    <t>Applicable requirement/control for Detailed Risk Assessment</t>
  </si>
  <si>
    <t>Evidence expected for Detailed Risk Assessment</t>
  </si>
  <si>
    <t>FND-0008</t>
  </si>
  <si>
    <t>VAL-0009</t>
  </si>
  <si>
    <t>EVID-0009</t>
  </si>
  <si>
    <t>TPRM-009</t>
  </si>
  <si>
    <t>Vendor Risk Register</t>
  </si>
  <si>
    <t>VND-009</t>
  </si>
  <si>
    <t>Portfolio Vendor 09</t>
  </si>
  <si>
    <t>Applicable requirement/control for Vendor Risk Register</t>
  </si>
  <si>
    <t>Evidence expected for Vendor Risk Register</t>
  </si>
  <si>
    <t>FND-0009</t>
  </si>
  <si>
    <t>VAL-0010</t>
  </si>
  <si>
    <t>EVID-0010</t>
  </si>
  <si>
    <t>TPRM-010</t>
  </si>
  <si>
    <t>Due Diligence</t>
  </si>
  <si>
    <t>VND-010</t>
  </si>
  <si>
    <t>Portfolio Vendor 10</t>
  </si>
  <si>
    <t>Applicable requirement/control for Due Diligence</t>
  </si>
  <si>
    <t>Evidence expected for Due Diligence</t>
  </si>
  <si>
    <t>FND-0010</t>
  </si>
  <si>
    <t>VAL-0011</t>
  </si>
  <si>
    <t>EVID-0011</t>
  </si>
  <si>
    <t>TPRM-011</t>
  </si>
  <si>
    <t>Security Questionnaire</t>
  </si>
  <si>
    <t>VND-011</t>
  </si>
  <si>
    <t>Portfolio Vendor 11</t>
  </si>
  <si>
    <t>Applicable requirement/control for Security Questionnaire</t>
  </si>
  <si>
    <t>Evidence expected for Security Questionnaire</t>
  </si>
  <si>
    <t>FND-0011</t>
  </si>
  <si>
    <t>VAL-0012</t>
  </si>
  <si>
    <t>EVID-0012</t>
  </si>
  <si>
    <t>TPRM-012</t>
  </si>
  <si>
    <t>Security Assurance</t>
  </si>
  <si>
    <t>VND-012</t>
  </si>
  <si>
    <t>Portfolio Vendor 12</t>
  </si>
  <si>
    <t>Applicable requirement/control for Security Assurance</t>
  </si>
  <si>
    <t>Evidence expected for Security Assurance</t>
  </si>
  <si>
    <t>FND-0012</t>
  </si>
  <si>
    <t>VAL-0013</t>
  </si>
  <si>
    <t>EVID-0013</t>
  </si>
  <si>
    <t>TPRM-013</t>
  </si>
  <si>
    <t>Contract / SLA / Security</t>
  </si>
  <si>
    <t>VND-013</t>
  </si>
  <si>
    <t>Portfolio Vendor 13</t>
  </si>
  <si>
    <t>Applicable requirement/control for Contract / SLA / Security</t>
  </si>
  <si>
    <t>Evidence expected for Contract / SLA / Security</t>
  </si>
  <si>
    <t>FND-0013</t>
  </si>
  <si>
    <t>VAL-0014</t>
  </si>
  <si>
    <t>EVID-0014</t>
  </si>
  <si>
    <t>TPRM-014</t>
  </si>
  <si>
    <t>SLA Monitoring</t>
  </si>
  <si>
    <t>VND-014</t>
  </si>
  <si>
    <t>Portfolio Vendor 14</t>
  </si>
  <si>
    <t>Applicable requirement/control for SLA Monitoring</t>
  </si>
  <si>
    <t>Evidence expected for SLA Monitoring</t>
  </si>
  <si>
    <t>FND-0014</t>
  </si>
  <si>
    <t>VAL-0015</t>
  </si>
  <si>
    <t>EVID-0015</t>
  </si>
  <si>
    <t>TPRM-015</t>
  </si>
  <si>
    <t>Incident / Breach</t>
  </si>
  <si>
    <t>VND-015</t>
  </si>
  <si>
    <t>Portfolio Vendor 15</t>
  </si>
  <si>
    <t>Applicable requirement/control for Incident / Breach</t>
  </si>
  <si>
    <t>Evidence expected for Incident / Breach</t>
  </si>
  <si>
    <t>FND-0015</t>
  </si>
  <si>
    <t>VAL-0016</t>
  </si>
  <si>
    <t>EVID-0016</t>
  </si>
  <si>
    <t>TPRM-016</t>
  </si>
  <si>
    <t>BCDR Assessment</t>
  </si>
  <si>
    <t>VND-016</t>
  </si>
  <si>
    <t>Portfolio Vendor 16</t>
  </si>
  <si>
    <t>Applicable requirement/control for BCDR Assessment</t>
  </si>
  <si>
    <t>Evidence expected for BCDR Assessment</t>
  </si>
  <si>
    <t>FND-0016</t>
  </si>
  <si>
    <t>VAL-0017</t>
  </si>
  <si>
    <t>EVID-0017</t>
  </si>
  <si>
    <t>TPRM-017</t>
  </si>
  <si>
    <t>Risk Treatment</t>
  </si>
  <si>
    <t>VND-017</t>
  </si>
  <si>
    <t>Portfolio Vendor 17</t>
  </si>
  <si>
    <t>Applicable requirement/control for Risk Treatment</t>
  </si>
  <si>
    <t>Evidence expected for Risk Treatment</t>
  </si>
  <si>
    <t>FND-0017</t>
  </si>
  <si>
    <t>VAL-0018</t>
  </si>
  <si>
    <t>EVID-0018</t>
  </si>
  <si>
    <t>TPRM-018</t>
  </si>
  <si>
    <t>Risk Reassessment</t>
  </si>
  <si>
    <t>VND-018</t>
  </si>
  <si>
    <t>Portfolio Vendor 18</t>
  </si>
  <si>
    <t>Applicable requirement/control for Risk Reassessment</t>
  </si>
  <si>
    <t>Evidence expected for Risk Reassessment</t>
  </si>
  <si>
    <t>FND-0018</t>
  </si>
  <si>
    <t>VAL-0019</t>
  </si>
  <si>
    <t>EVID-0019</t>
  </si>
  <si>
    <t>TPRM-019</t>
  </si>
  <si>
    <t>Offboarding</t>
  </si>
  <si>
    <t>VND-019</t>
  </si>
  <si>
    <t>Portfolio Vendor 19</t>
  </si>
  <si>
    <t>Applicable requirement/control for Offboarding</t>
  </si>
  <si>
    <t>Evidence expected for Offboarding</t>
  </si>
  <si>
    <t>FND-0019</t>
  </si>
  <si>
    <t>VAL-0020</t>
  </si>
  <si>
    <t>EVID-0020</t>
  </si>
  <si>
    <t>TPRM-020</t>
  </si>
  <si>
    <t>Management Dashboard</t>
  </si>
  <si>
    <t>VND-020</t>
  </si>
  <si>
    <t>Portfolio Vendor 20</t>
  </si>
  <si>
    <t>Applicable requirement/control for Management Dashboard</t>
  </si>
  <si>
    <t>Evidence expected for Management Dashboard</t>
  </si>
  <si>
    <t>FND-0020</t>
  </si>
  <si>
    <t>VAL-0021</t>
  </si>
  <si>
    <t>EVID-0021</t>
  </si>
  <si>
    <t>TPRM-021</t>
  </si>
  <si>
    <t>Periodic Due Diligence</t>
  </si>
  <si>
    <t>VND-021</t>
  </si>
  <si>
    <t>Portfolio Vendor 21</t>
  </si>
  <si>
    <t>Applicable requirement/control for Periodic Due Diligence</t>
  </si>
  <si>
    <t>Evidence expected for Periodic Due Diligence</t>
  </si>
  <si>
    <t>FND-0021</t>
  </si>
  <si>
    <t>VAL-0022</t>
  </si>
  <si>
    <t>EVID-0022</t>
  </si>
  <si>
    <t>TPRM-022</t>
  </si>
  <si>
    <t>Security Assessment Evidence</t>
  </si>
  <si>
    <t>VND-022</t>
  </si>
  <si>
    <t>Portfolio Vendor 22</t>
  </si>
  <si>
    <t>Applicable requirement/control for Security Assessment Evidence</t>
  </si>
  <si>
    <t>Evidence expected for Security Assessment Evidence</t>
  </si>
  <si>
    <t>FND-0022</t>
  </si>
  <si>
    <t>VAL-0023</t>
  </si>
  <si>
    <t>EVID-0023</t>
  </si>
  <si>
    <t>TPRM-023</t>
  </si>
  <si>
    <t>Security Exception</t>
  </si>
  <si>
    <t>VND-023</t>
  </si>
  <si>
    <t>Portfolio Vendor 23</t>
  </si>
  <si>
    <t>Applicable requirement/control for Security Exception</t>
  </si>
  <si>
    <t>Evidence expected for Security Exception</t>
  </si>
  <si>
    <t>FND-0023</t>
  </si>
  <si>
    <t>VAL-0024</t>
  </si>
  <si>
    <t>EVID-0024</t>
  </si>
  <si>
    <t>TPRM-024</t>
  </si>
  <si>
    <t>Risk Acceptance</t>
  </si>
  <si>
    <t>VND-024</t>
  </si>
  <si>
    <t>Portfolio Vendor 24</t>
  </si>
  <si>
    <t>Applicable requirement/control for Risk Acceptance</t>
  </si>
  <si>
    <t>Evidence expected for Risk Acceptance</t>
  </si>
  <si>
    <t>FND-0024</t>
  </si>
  <si>
    <t>VAL-0025</t>
  </si>
  <si>
    <t>EVID-0025</t>
  </si>
  <si>
    <t>TPRM-025</t>
  </si>
  <si>
    <t>Risk Escalation</t>
  </si>
  <si>
    <t>VND-025</t>
  </si>
  <si>
    <t>Portfolio Vendor 25</t>
  </si>
  <si>
    <t>Applicable requirement/control for Risk Escalation</t>
  </si>
  <si>
    <t>Evidence expected for Risk Escalation</t>
  </si>
  <si>
    <t>FND-0025</t>
  </si>
  <si>
    <t>VAL-0026</t>
  </si>
  <si>
    <t>EVID-0026</t>
  </si>
  <si>
    <t>TPRM-026</t>
  </si>
  <si>
    <t>Continuous Monitoring</t>
  </si>
  <si>
    <t>VND-026</t>
  </si>
  <si>
    <t>Portfolio Vendor 26</t>
  </si>
  <si>
    <t>Applicable requirement/control for Continuous Monitoring</t>
  </si>
  <si>
    <t>Evidence expected for Continuous Monitoring</t>
  </si>
  <si>
    <t>FND-0026</t>
  </si>
  <si>
    <t>VAL-0027</t>
  </si>
  <si>
    <t>EVID-0027</t>
  </si>
  <si>
    <t>TPRM-027</t>
  </si>
  <si>
    <t>Security Event Management</t>
  </si>
  <si>
    <t>VND-027</t>
  </si>
  <si>
    <t>Portfolio Vendor 27</t>
  </si>
  <si>
    <t>Applicable requirement/control for Security Event Management</t>
  </si>
  <si>
    <t>Evidence expected for Security Event Management</t>
  </si>
  <si>
    <t>FND-0027</t>
  </si>
  <si>
    <t>VAL-0028</t>
  </si>
  <si>
    <t>EVID-0028</t>
  </si>
  <si>
    <t>TPRM-028</t>
  </si>
  <si>
    <t>SLA Performance</t>
  </si>
  <si>
    <t>VND-028</t>
  </si>
  <si>
    <t>Portfolio Vendor 28</t>
  </si>
  <si>
    <t>Applicable requirement/control for SLA Performance</t>
  </si>
  <si>
    <t>Evidence expected for SLA Performance</t>
  </si>
  <si>
    <t>FND-0028</t>
  </si>
  <si>
    <t>VAL-0029</t>
  </si>
  <si>
    <t>EVID-0029</t>
  </si>
  <si>
    <t>TPRM-029</t>
  </si>
  <si>
    <t>BCDR</t>
  </si>
  <si>
    <t>VND-029</t>
  </si>
  <si>
    <t>Portfolio Vendor 29</t>
  </si>
  <si>
    <t>Applicable requirement/control for BCDR</t>
  </si>
  <si>
    <t>Evidence expected for BCDR</t>
  </si>
  <si>
    <t>FND-0029</t>
  </si>
  <si>
    <t>VAL-0030</t>
  </si>
  <si>
    <t>EVID-0030</t>
  </si>
  <si>
    <t>TPRM-030</t>
  </si>
  <si>
    <t>Privacy</t>
  </si>
  <si>
    <t>VND-030</t>
  </si>
  <si>
    <t>Portfolio Vendor 30</t>
  </si>
  <si>
    <t>Applicable requirement/control for Privacy</t>
  </si>
  <si>
    <t>Evidence expected for Privacy</t>
  </si>
  <si>
    <t>FND-0030</t>
  </si>
  <si>
    <t>Step</t>
  </si>
  <si>
    <t>Activity</t>
  </si>
  <si>
    <t>Output / Gate</t>
  </si>
  <si>
    <t>1</t>
  </si>
  <si>
    <t>Requirement identified</t>
  </si>
  <si>
    <t>Requirement/control mapped to TPRM document</t>
  </si>
  <si>
    <t>2</t>
  </si>
  <si>
    <t>Evidence expected</t>
  </si>
  <si>
    <t>Evidence type and acceptance criteria defined</t>
  </si>
  <si>
    <t>3</t>
  </si>
  <si>
    <t>Evidence received</t>
  </si>
  <si>
    <t>Evidence ID and source recorded</t>
  </si>
  <si>
    <t>4</t>
  </si>
  <si>
    <t>Evidence reviewed</t>
  </si>
  <si>
    <t>Currency, relevance, completeness, reliability and traceability assessed</t>
  </si>
  <si>
    <t>5</t>
  </si>
  <si>
    <t>Finding raised</t>
  </si>
  <si>
    <t>Finding ID, gap and risk impact recorded where applicable</t>
  </si>
  <si>
    <t>6</t>
  </si>
  <si>
    <t>Corrective action</t>
  </si>
  <si>
    <t>Owner and target date assigned</t>
  </si>
  <si>
    <t>7</t>
  </si>
  <si>
    <t>Remediation evidence</t>
  </si>
  <si>
    <t>New/updated Evidence ID linked to corrective action</t>
  </si>
  <si>
    <t>8</t>
  </si>
  <si>
    <t>Validation</t>
  </si>
  <si>
    <t>Reviewer verifies remediation</t>
  </si>
  <si>
    <t>9</t>
  </si>
  <si>
    <t>Closure decision</t>
  </si>
  <si>
    <t>Close, keep open or escalate</t>
  </si>
  <si>
    <t>10</t>
  </si>
  <si>
    <t>Final closure</t>
  </si>
  <si>
    <t>Closure date and reviewer comments recorded</t>
  </si>
  <si>
    <t>Metric</t>
  </si>
  <si>
    <t>Value</t>
  </si>
  <si>
    <t>Meaning</t>
  </si>
  <si>
    <t>Core TPRM Documents Mapped</t>
  </si>
  <si>
    <t>TPRM-001 to TPRM-030</t>
  </si>
  <si>
    <t>Validation Records</t>
  </si>
  <si>
    <t>One validation mapping per core document</t>
  </si>
  <si>
    <t>Evidence Pending</t>
  </si>
  <si>
    <t>Awaiting evidence validation</t>
  </si>
  <si>
    <t>Verified</t>
  </si>
  <si>
    <t>Validated evidence/remediation</t>
  </si>
  <si>
    <t>Open Findings</t>
  </si>
  <si>
    <t>Findings requiring action</t>
  </si>
  <si>
    <t>Closed Findings</t>
  </si>
  <si>
    <t>Validated and closed</t>
  </si>
  <si>
    <t>Overall Status</t>
  </si>
  <si>
    <t>Pending Evidence Population</t>
  </si>
  <si>
    <t>Framework ready for evidence validation</t>
  </si>
  <si>
    <t>Field</t>
  </si>
  <si>
    <t>Purpose</t>
  </si>
  <si>
    <t>Field used to trace evidence from requirement through finding, remediation, validation and final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</si>
</sst>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ValidationClosureMatrix" displayName="EvidenceValidationClosureMatrix" ref="A1:AC31">
  <autoFilter ref="A1:AC31" xr:uid="{00000000-0009-0000-0100-000001000000}"/>
  <tableColumns count="29">
    <tableColumn id="1" xr3:uid="{00000000-0010-0000-0000-000001000000}" name="Validation ID" dataDxfId="28"/>
    <tableColumn id="2" xr3:uid="{00000000-0010-0000-0000-000002000000}" name="Evidence ID" dataDxfId="27"/>
    <tableColumn id="3" xr3:uid="{00000000-0010-0000-0000-000003000000}" name="TPRM Document ID" dataDxfId="26"/>
    <tableColumn id="4" xr3:uid="{00000000-0010-0000-0000-000004000000}" name="TPRM Activity" dataDxfId="25"/>
    <tableColumn id="5" xr3:uid="{00000000-0010-0000-0000-000005000000}" name="Vendor ID" dataDxfId="24"/>
    <tableColumn id="6" xr3:uid="{00000000-0010-0000-0000-000006000000}" name="Vendor Name" dataDxfId="23"/>
    <tableColumn id="7" xr3:uid="{00000000-0010-0000-0000-000007000000}" name="Requirement / Control" dataDxfId="22"/>
    <tableColumn id="8" xr3:uid="{00000000-0010-0000-0000-000008000000}" name="Expected Evidence" dataDxfId="21"/>
    <tableColumn id="9" xr3:uid="{00000000-0010-0000-0000-000009000000}" name="Evidence Received" dataDxfId="20"/>
    <tableColumn id="10" xr3:uid="{00000000-0010-0000-0000-00000A000000}" name="Evidence Date" dataDxfId="19"/>
    <tableColumn id="11" xr3:uid="{00000000-0010-0000-0000-00000B000000}" name="Reviewer" dataDxfId="18"/>
    <tableColumn id="12" xr3:uid="{00000000-0010-0000-0000-00000C000000}" name="Currency" dataDxfId="17"/>
    <tableColumn id="13" xr3:uid="{00000000-0010-0000-0000-00000D000000}" name="Relevance" dataDxfId="16"/>
    <tableColumn id="14" xr3:uid="{00000000-0010-0000-0000-00000E000000}" name="Completeness" dataDxfId="15"/>
    <tableColumn id="15" xr3:uid="{00000000-0010-0000-0000-00000F000000}" name="Authenticity / Reliability" dataDxfId="14"/>
    <tableColumn id="16" xr3:uid="{00000000-0010-0000-0000-000010000000}" name="Traceability" dataDxfId="13"/>
    <tableColumn id="17" xr3:uid="{00000000-0010-0000-0000-000011000000}" name="Finding ID" dataDxfId="12"/>
    <tableColumn id="18" xr3:uid="{00000000-0010-0000-0000-000012000000}" name="Finding / Gap" dataDxfId="11"/>
    <tableColumn id="19" xr3:uid="{00000000-0010-0000-0000-000013000000}" name="Risk ID" dataDxfId="10"/>
    <tableColumn id="20" xr3:uid="{00000000-0010-0000-0000-000014000000}" name="Risk Rating" dataDxfId="9"/>
    <tableColumn id="21" xr3:uid="{00000000-0010-0000-0000-000015000000}" name="Corrective Action" dataDxfId="8"/>
    <tableColumn id="22" xr3:uid="{00000000-0010-0000-0000-000016000000}" name="Action Owner" dataDxfId="7"/>
    <tableColumn id="23" xr3:uid="{00000000-0010-0000-0000-000017000000}" name="Target Date" dataDxfId="6"/>
    <tableColumn id="24" xr3:uid="{00000000-0010-0000-0000-000018000000}" name="Remediation Evidence ID" dataDxfId="5"/>
    <tableColumn id="25" xr3:uid="{00000000-0010-0000-0000-000019000000}" name="Validation Result" dataDxfId="4"/>
    <tableColumn id="26" xr3:uid="{00000000-0010-0000-0000-00001A000000}" name="Closure Decision" dataDxfId="3"/>
    <tableColumn id="27" xr3:uid="{00000000-0010-0000-0000-00001B000000}" name="Closure Date" dataDxfId="2"/>
    <tableColumn id="28" xr3:uid="{00000000-0010-0000-0000-00001C000000}" name="Final Status" dataDxfId="1"/>
    <tableColumn id="29" xr3:uid="{00000000-0010-0000-0000-00001D00000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AC31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3" width="18" customWidth="1"/>
    <col min="4" max="4" width="32" customWidth="1"/>
    <col min="5" max="5" width="14" customWidth="1"/>
    <col min="6" max="6" width="28" customWidth="1"/>
    <col min="7" max="7" width="50" customWidth="1"/>
    <col min="8" max="8" width="55" customWidth="1"/>
    <col min="9" max="9" width="28" customWidth="1"/>
    <col min="10" max="10" width="16" customWidth="1"/>
    <col min="11" max="11" width="22" customWidth="1"/>
    <col min="12" max="13" width="18" customWidth="1"/>
    <col min="14" max="14" width="20" customWidth="1"/>
    <col min="15" max="15" width="28" customWidth="1"/>
    <col min="16" max="16" width="20" customWidth="1"/>
    <col min="17" max="17" width="16" customWidth="1"/>
    <col min="18" max="18" width="45" customWidth="1"/>
    <col min="19" max="19" width="16" customWidth="1"/>
    <col min="20" max="20" width="18" customWidth="1"/>
    <col min="21" max="21" width="55" customWidth="1"/>
    <col min="22" max="22" width="24" customWidth="1"/>
    <col min="23" max="23" width="16" customWidth="1"/>
    <col min="24" max="24" width="24" customWidth="1"/>
    <col min="25" max="26" width="20" customWidth="1"/>
    <col min="27" max="27" width="16" customWidth="1"/>
    <col min="28" max="28" width="18" customWidth="1"/>
    <col min="29" max="29" width="55" customWidth="1"/>
  </cols>
  <sheetData>
    <row r="1" spans="1:29" ht="4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/>
      <c r="K2" s="2" t="s">
        <v>38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40</v>
      </c>
      <c r="R2" s="2" t="s">
        <v>41</v>
      </c>
      <c r="S2" s="2"/>
      <c r="T2" s="2" t="s">
        <v>39</v>
      </c>
      <c r="U2" s="2" t="s">
        <v>42</v>
      </c>
      <c r="V2" s="2" t="s">
        <v>43</v>
      </c>
      <c r="W2" s="2"/>
      <c r="X2" s="2"/>
      <c r="Y2" s="2" t="s">
        <v>39</v>
      </c>
      <c r="Z2" s="2" t="s">
        <v>39</v>
      </c>
      <c r="AA2" s="2"/>
      <c r="AB2" s="2" t="s">
        <v>44</v>
      </c>
      <c r="AC2" s="2" t="s">
        <v>45</v>
      </c>
    </row>
    <row r="3" spans="1:29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37</v>
      </c>
      <c r="J3" s="2"/>
      <c r="K3" s="2" t="s">
        <v>38</v>
      </c>
      <c r="L3" s="2" t="s">
        <v>39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54</v>
      </c>
      <c r="R3" s="2" t="s">
        <v>41</v>
      </c>
      <c r="S3" s="2"/>
      <c r="T3" s="2" t="s">
        <v>39</v>
      </c>
      <c r="U3" s="2" t="s">
        <v>42</v>
      </c>
      <c r="V3" s="2" t="s">
        <v>43</v>
      </c>
      <c r="W3" s="2"/>
      <c r="X3" s="2"/>
      <c r="Y3" s="2" t="s">
        <v>39</v>
      </c>
      <c r="Z3" s="2" t="s">
        <v>39</v>
      </c>
      <c r="AA3" s="2"/>
      <c r="AB3" s="2" t="s">
        <v>44</v>
      </c>
      <c r="AC3" s="2" t="s">
        <v>45</v>
      </c>
    </row>
    <row r="4" spans="1:29" x14ac:dyDescent="0.3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2" t="s">
        <v>37</v>
      </c>
      <c r="J4" s="2"/>
      <c r="K4" s="2" t="s">
        <v>38</v>
      </c>
      <c r="L4" s="2" t="s">
        <v>39</v>
      </c>
      <c r="M4" s="2" t="s">
        <v>39</v>
      </c>
      <c r="N4" s="2" t="s">
        <v>39</v>
      </c>
      <c r="O4" s="2" t="s">
        <v>39</v>
      </c>
      <c r="P4" s="2" t="s">
        <v>39</v>
      </c>
      <c r="Q4" s="2" t="s">
        <v>63</v>
      </c>
      <c r="R4" s="2" t="s">
        <v>41</v>
      </c>
      <c r="S4" s="2"/>
      <c r="T4" s="2" t="s">
        <v>39</v>
      </c>
      <c r="U4" s="2" t="s">
        <v>42</v>
      </c>
      <c r="V4" s="2" t="s">
        <v>43</v>
      </c>
      <c r="W4" s="2"/>
      <c r="X4" s="2"/>
      <c r="Y4" s="2" t="s">
        <v>39</v>
      </c>
      <c r="Z4" s="2" t="s">
        <v>39</v>
      </c>
      <c r="AA4" s="2"/>
      <c r="AB4" s="2" t="s">
        <v>44</v>
      </c>
      <c r="AC4" s="2" t="s">
        <v>45</v>
      </c>
    </row>
    <row r="5" spans="1:29" ht="28.8" x14ac:dyDescent="0.3">
      <c r="A5" s="2" t="s">
        <v>64</v>
      </c>
      <c r="B5" s="2" t="s">
        <v>65</v>
      </c>
      <c r="C5" s="2" t="s">
        <v>66</v>
      </c>
      <c r="D5" s="2" t="s">
        <v>67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37</v>
      </c>
      <c r="J5" s="2"/>
      <c r="K5" s="2" t="s">
        <v>38</v>
      </c>
      <c r="L5" s="2" t="s">
        <v>39</v>
      </c>
      <c r="M5" s="2" t="s">
        <v>39</v>
      </c>
      <c r="N5" s="2" t="s">
        <v>39</v>
      </c>
      <c r="O5" s="2" t="s">
        <v>39</v>
      </c>
      <c r="P5" s="2" t="s">
        <v>39</v>
      </c>
      <c r="Q5" s="2" t="s">
        <v>72</v>
      </c>
      <c r="R5" s="2" t="s">
        <v>41</v>
      </c>
      <c r="S5" s="2"/>
      <c r="T5" s="2" t="s">
        <v>39</v>
      </c>
      <c r="U5" s="2" t="s">
        <v>42</v>
      </c>
      <c r="V5" s="2" t="s">
        <v>43</v>
      </c>
      <c r="W5" s="2"/>
      <c r="X5" s="2"/>
      <c r="Y5" s="2" t="s">
        <v>39</v>
      </c>
      <c r="Z5" s="2" t="s">
        <v>39</v>
      </c>
      <c r="AA5" s="2"/>
      <c r="AB5" s="2" t="s">
        <v>44</v>
      </c>
      <c r="AC5" s="2" t="s">
        <v>45</v>
      </c>
    </row>
    <row r="6" spans="1:29" x14ac:dyDescent="0.3">
      <c r="A6" s="2" t="s">
        <v>73</v>
      </c>
      <c r="B6" s="2" t="s">
        <v>74</v>
      </c>
      <c r="C6" s="2" t="s">
        <v>75</v>
      </c>
      <c r="D6" s="2" t="s">
        <v>76</v>
      </c>
      <c r="E6" s="2" t="s">
        <v>77</v>
      </c>
      <c r="F6" s="2" t="s">
        <v>78</v>
      </c>
      <c r="G6" s="2" t="s">
        <v>79</v>
      </c>
      <c r="H6" s="2" t="s">
        <v>80</v>
      </c>
      <c r="I6" s="2" t="s">
        <v>37</v>
      </c>
      <c r="J6" s="2"/>
      <c r="K6" s="2" t="s">
        <v>38</v>
      </c>
      <c r="L6" s="2" t="s">
        <v>39</v>
      </c>
      <c r="M6" s="2" t="s">
        <v>39</v>
      </c>
      <c r="N6" s="2" t="s">
        <v>39</v>
      </c>
      <c r="O6" s="2" t="s">
        <v>39</v>
      </c>
      <c r="P6" s="2" t="s">
        <v>39</v>
      </c>
      <c r="Q6" s="2" t="s">
        <v>81</v>
      </c>
      <c r="R6" s="2" t="s">
        <v>41</v>
      </c>
      <c r="S6" s="2"/>
      <c r="T6" s="2" t="s">
        <v>39</v>
      </c>
      <c r="U6" s="2" t="s">
        <v>42</v>
      </c>
      <c r="V6" s="2" t="s">
        <v>43</v>
      </c>
      <c r="W6" s="2"/>
      <c r="X6" s="2"/>
      <c r="Y6" s="2" t="s">
        <v>39</v>
      </c>
      <c r="Z6" s="2" t="s">
        <v>39</v>
      </c>
      <c r="AA6" s="2"/>
      <c r="AB6" s="2" t="s">
        <v>44</v>
      </c>
      <c r="AC6" s="2" t="s">
        <v>45</v>
      </c>
    </row>
    <row r="7" spans="1:29" x14ac:dyDescent="0.3">
      <c r="A7" s="2" t="s">
        <v>82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88</v>
      </c>
      <c r="H7" s="2" t="s">
        <v>89</v>
      </c>
      <c r="I7" s="2" t="s">
        <v>37</v>
      </c>
      <c r="J7" s="2"/>
      <c r="K7" s="2" t="s">
        <v>38</v>
      </c>
      <c r="L7" s="2" t="s">
        <v>39</v>
      </c>
      <c r="M7" s="2" t="s">
        <v>39</v>
      </c>
      <c r="N7" s="2" t="s">
        <v>39</v>
      </c>
      <c r="O7" s="2" t="s">
        <v>39</v>
      </c>
      <c r="P7" s="2" t="s">
        <v>39</v>
      </c>
      <c r="Q7" s="2" t="s">
        <v>90</v>
      </c>
      <c r="R7" s="2" t="s">
        <v>41</v>
      </c>
      <c r="S7" s="2"/>
      <c r="T7" s="2" t="s">
        <v>39</v>
      </c>
      <c r="U7" s="2" t="s">
        <v>42</v>
      </c>
      <c r="V7" s="2" t="s">
        <v>43</v>
      </c>
      <c r="W7" s="2"/>
      <c r="X7" s="2"/>
      <c r="Y7" s="2" t="s">
        <v>39</v>
      </c>
      <c r="Z7" s="2" t="s">
        <v>39</v>
      </c>
      <c r="AA7" s="2"/>
      <c r="AB7" s="2" t="s">
        <v>44</v>
      </c>
      <c r="AC7" s="2" t="s">
        <v>45</v>
      </c>
    </row>
    <row r="8" spans="1:29" ht="28.8" x14ac:dyDescent="0.3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 t="s">
        <v>37</v>
      </c>
      <c r="J8" s="2"/>
      <c r="K8" s="2" t="s">
        <v>38</v>
      </c>
      <c r="L8" s="2" t="s">
        <v>39</v>
      </c>
      <c r="M8" s="2" t="s">
        <v>39</v>
      </c>
      <c r="N8" s="2" t="s">
        <v>39</v>
      </c>
      <c r="O8" s="2" t="s">
        <v>39</v>
      </c>
      <c r="P8" s="2" t="s">
        <v>39</v>
      </c>
      <c r="Q8" s="2" t="s">
        <v>99</v>
      </c>
      <c r="R8" s="2" t="s">
        <v>41</v>
      </c>
      <c r="S8" s="2"/>
      <c r="T8" s="2" t="s">
        <v>39</v>
      </c>
      <c r="U8" s="2" t="s">
        <v>42</v>
      </c>
      <c r="V8" s="2" t="s">
        <v>43</v>
      </c>
      <c r="W8" s="2"/>
      <c r="X8" s="2"/>
      <c r="Y8" s="2" t="s">
        <v>39</v>
      </c>
      <c r="Z8" s="2" t="s">
        <v>39</v>
      </c>
      <c r="AA8" s="2"/>
      <c r="AB8" s="2" t="s">
        <v>44</v>
      </c>
      <c r="AC8" s="2" t="s">
        <v>45</v>
      </c>
    </row>
    <row r="9" spans="1:29" ht="28.8" x14ac:dyDescent="0.3">
      <c r="A9" s="2" t="s">
        <v>100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106</v>
      </c>
      <c r="H9" s="2" t="s">
        <v>107</v>
      </c>
      <c r="I9" s="2" t="s">
        <v>37</v>
      </c>
      <c r="J9" s="2"/>
      <c r="K9" s="2" t="s">
        <v>38</v>
      </c>
      <c r="L9" s="2" t="s">
        <v>39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108</v>
      </c>
      <c r="R9" s="2" t="s">
        <v>41</v>
      </c>
      <c r="S9" s="2"/>
      <c r="T9" s="2" t="s">
        <v>39</v>
      </c>
      <c r="U9" s="2" t="s">
        <v>42</v>
      </c>
      <c r="V9" s="2" t="s">
        <v>43</v>
      </c>
      <c r="W9" s="2"/>
      <c r="X9" s="2"/>
      <c r="Y9" s="2" t="s">
        <v>39</v>
      </c>
      <c r="Z9" s="2" t="s">
        <v>39</v>
      </c>
      <c r="AA9" s="2"/>
      <c r="AB9" s="2" t="s">
        <v>44</v>
      </c>
      <c r="AC9" s="2" t="s">
        <v>45</v>
      </c>
    </row>
    <row r="10" spans="1:29" x14ac:dyDescent="0.3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114</v>
      </c>
      <c r="G10" s="2" t="s">
        <v>115</v>
      </c>
      <c r="H10" s="2" t="s">
        <v>116</v>
      </c>
      <c r="I10" s="2" t="s">
        <v>37</v>
      </c>
      <c r="J10" s="2"/>
      <c r="K10" s="2" t="s">
        <v>38</v>
      </c>
      <c r="L10" s="2" t="s">
        <v>39</v>
      </c>
      <c r="M10" s="2" t="s">
        <v>39</v>
      </c>
      <c r="N10" s="2" t="s">
        <v>39</v>
      </c>
      <c r="O10" s="2" t="s">
        <v>39</v>
      </c>
      <c r="P10" s="2" t="s">
        <v>39</v>
      </c>
      <c r="Q10" s="2" t="s">
        <v>117</v>
      </c>
      <c r="R10" s="2" t="s">
        <v>41</v>
      </c>
      <c r="S10" s="2"/>
      <c r="T10" s="2" t="s">
        <v>39</v>
      </c>
      <c r="U10" s="2" t="s">
        <v>42</v>
      </c>
      <c r="V10" s="2" t="s">
        <v>43</v>
      </c>
      <c r="W10" s="2"/>
      <c r="X10" s="2"/>
      <c r="Y10" s="2" t="s">
        <v>39</v>
      </c>
      <c r="Z10" s="2" t="s">
        <v>39</v>
      </c>
      <c r="AA10" s="2"/>
      <c r="AB10" s="2" t="s">
        <v>44</v>
      </c>
      <c r="AC10" s="2" t="s">
        <v>45</v>
      </c>
    </row>
    <row r="11" spans="1:29" x14ac:dyDescent="0.3">
      <c r="A11" s="2" t="s">
        <v>118</v>
      </c>
      <c r="B11" s="2" t="s">
        <v>119</v>
      </c>
      <c r="C11" s="2" t="s">
        <v>120</v>
      </c>
      <c r="D11" s="2" t="s">
        <v>121</v>
      </c>
      <c r="E11" s="2" t="s">
        <v>122</v>
      </c>
      <c r="F11" s="2" t="s">
        <v>123</v>
      </c>
      <c r="G11" s="2" t="s">
        <v>124</v>
      </c>
      <c r="H11" s="2" t="s">
        <v>125</v>
      </c>
      <c r="I11" s="2" t="s">
        <v>37</v>
      </c>
      <c r="J11" s="2"/>
      <c r="K11" s="2" t="s">
        <v>38</v>
      </c>
      <c r="L11" s="2" t="s">
        <v>39</v>
      </c>
      <c r="M11" s="2" t="s">
        <v>39</v>
      </c>
      <c r="N11" s="2" t="s">
        <v>39</v>
      </c>
      <c r="O11" s="2" t="s">
        <v>39</v>
      </c>
      <c r="P11" s="2" t="s">
        <v>39</v>
      </c>
      <c r="Q11" s="2" t="s">
        <v>126</v>
      </c>
      <c r="R11" s="2" t="s">
        <v>41</v>
      </c>
      <c r="S11" s="2"/>
      <c r="T11" s="2" t="s">
        <v>39</v>
      </c>
      <c r="U11" s="2" t="s">
        <v>42</v>
      </c>
      <c r="V11" s="2" t="s">
        <v>43</v>
      </c>
      <c r="W11" s="2"/>
      <c r="X11" s="2"/>
      <c r="Y11" s="2" t="s">
        <v>39</v>
      </c>
      <c r="Z11" s="2" t="s">
        <v>39</v>
      </c>
      <c r="AA11" s="2"/>
      <c r="AB11" s="2" t="s">
        <v>44</v>
      </c>
      <c r="AC11" s="2" t="s">
        <v>45</v>
      </c>
    </row>
    <row r="12" spans="1:29" x14ac:dyDescent="0.3">
      <c r="A12" s="2" t="s">
        <v>127</v>
      </c>
      <c r="B12" s="2" t="s">
        <v>128</v>
      </c>
      <c r="C12" s="2" t="s">
        <v>129</v>
      </c>
      <c r="D12" s="2" t="s">
        <v>130</v>
      </c>
      <c r="E12" s="2" t="s">
        <v>131</v>
      </c>
      <c r="F12" s="2" t="s">
        <v>132</v>
      </c>
      <c r="G12" s="2" t="s">
        <v>133</v>
      </c>
      <c r="H12" s="2" t="s">
        <v>134</v>
      </c>
      <c r="I12" s="2" t="s">
        <v>37</v>
      </c>
      <c r="J12" s="2"/>
      <c r="K12" s="2" t="s">
        <v>38</v>
      </c>
      <c r="L12" s="2" t="s">
        <v>39</v>
      </c>
      <c r="M12" s="2" t="s">
        <v>39</v>
      </c>
      <c r="N12" s="2" t="s">
        <v>39</v>
      </c>
      <c r="O12" s="2" t="s">
        <v>39</v>
      </c>
      <c r="P12" s="2" t="s">
        <v>39</v>
      </c>
      <c r="Q12" s="2" t="s">
        <v>135</v>
      </c>
      <c r="R12" s="2" t="s">
        <v>41</v>
      </c>
      <c r="S12" s="2"/>
      <c r="T12" s="2" t="s">
        <v>39</v>
      </c>
      <c r="U12" s="2" t="s">
        <v>42</v>
      </c>
      <c r="V12" s="2" t="s">
        <v>43</v>
      </c>
      <c r="W12" s="2"/>
      <c r="X12" s="2"/>
      <c r="Y12" s="2" t="s">
        <v>39</v>
      </c>
      <c r="Z12" s="2" t="s">
        <v>39</v>
      </c>
      <c r="AA12" s="2"/>
      <c r="AB12" s="2" t="s">
        <v>44</v>
      </c>
      <c r="AC12" s="2" t="s">
        <v>45</v>
      </c>
    </row>
    <row r="13" spans="1:29" x14ac:dyDescent="0.3">
      <c r="A13" s="2" t="s">
        <v>136</v>
      </c>
      <c r="B13" s="2" t="s">
        <v>137</v>
      </c>
      <c r="C13" s="2" t="s">
        <v>138</v>
      </c>
      <c r="D13" s="2" t="s">
        <v>139</v>
      </c>
      <c r="E13" s="2" t="s">
        <v>140</v>
      </c>
      <c r="F13" s="2" t="s">
        <v>141</v>
      </c>
      <c r="G13" s="2" t="s">
        <v>142</v>
      </c>
      <c r="H13" s="2" t="s">
        <v>143</v>
      </c>
      <c r="I13" s="2" t="s">
        <v>37</v>
      </c>
      <c r="J13" s="2"/>
      <c r="K13" s="2" t="s">
        <v>38</v>
      </c>
      <c r="L13" s="2" t="s">
        <v>39</v>
      </c>
      <c r="M13" s="2" t="s">
        <v>39</v>
      </c>
      <c r="N13" s="2" t="s">
        <v>39</v>
      </c>
      <c r="O13" s="2" t="s">
        <v>39</v>
      </c>
      <c r="P13" s="2" t="s">
        <v>39</v>
      </c>
      <c r="Q13" s="2" t="s">
        <v>144</v>
      </c>
      <c r="R13" s="2" t="s">
        <v>41</v>
      </c>
      <c r="S13" s="2"/>
      <c r="T13" s="2" t="s">
        <v>39</v>
      </c>
      <c r="U13" s="2" t="s">
        <v>42</v>
      </c>
      <c r="V13" s="2" t="s">
        <v>43</v>
      </c>
      <c r="W13" s="2"/>
      <c r="X13" s="2"/>
      <c r="Y13" s="2" t="s">
        <v>39</v>
      </c>
      <c r="Z13" s="2" t="s">
        <v>39</v>
      </c>
      <c r="AA13" s="2"/>
      <c r="AB13" s="2" t="s">
        <v>44</v>
      </c>
      <c r="AC13" s="2" t="s">
        <v>45</v>
      </c>
    </row>
    <row r="14" spans="1:29" ht="28.8" x14ac:dyDescent="0.3">
      <c r="A14" s="2" t="s">
        <v>145</v>
      </c>
      <c r="B14" s="2" t="s">
        <v>146</v>
      </c>
      <c r="C14" s="2" t="s">
        <v>147</v>
      </c>
      <c r="D14" s="2" t="s">
        <v>148</v>
      </c>
      <c r="E14" s="2" t="s">
        <v>149</v>
      </c>
      <c r="F14" s="2" t="s">
        <v>150</v>
      </c>
      <c r="G14" s="2" t="s">
        <v>151</v>
      </c>
      <c r="H14" s="2" t="s">
        <v>152</v>
      </c>
      <c r="I14" s="2" t="s">
        <v>37</v>
      </c>
      <c r="J14" s="2"/>
      <c r="K14" s="2" t="s">
        <v>38</v>
      </c>
      <c r="L14" s="2" t="s">
        <v>39</v>
      </c>
      <c r="M14" s="2" t="s">
        <v>39</v>
      </c>
      <c r="N14" s="2" t="s">
        <v>39</v>
      </c>
      <c r="O14" s="2" t="s">
        <v>39</v>
      </c>
      <c r="P14" s="2" t="s">
        <v>39</v>
      </c>
      <c r="Q14" s="2" t="s">
        <v>153</v>
      </c>
      <c r="R14" s="2" t="s">
        <v>41</v>
      </c>
      <c r="S14" s="2"/>
      <c r="T14" s="2" t="s">
        <v>39</v>
      </c>
      <c r="U14" s="2" t="s">
        <v>42</v>
      </c>
      <c r="V14" s="2" t="s">
        <v>43</v>
      </c>
      <c r="W14" s="2"/>
      <c r="X14" s="2"/>
      <c r="Y14" s="2" t="s">
        <v>39</v>
      </c>
      <c r="Z14" s="2" t="s">
        <v>39</v>
      </c>
      <c r="AA14" s="2"/>
      <c r="AB14" s="2" t="s">
        <v>44</v>
      </c>
      <c r="AC14" s="2" t="s">
        <v>45</v>
      </c>
    </row>
    <row r="15" spans="1:29" x14ac:dyDescent="0.3">
      <c r="A15" s="2" t="s">
        <v>154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160</v>
      </c>
      <c r="H15" s="2" t="s">
        <v>161</v>
      </c>
      <c r="I15" s="2" t="s">
        <v>37</v>
      </c>
      <c r="J15" s="2"/>
      <c r="K15" s="2" t="s">
        <v>38</v>
      </c>
      <c r="L15" s="2" t="s">
        <v>39</v>
      </c>
      <c r="M15" s="2" t="s">
        <v>39</v>
      </c>
      <c r="N15" s="2" t="s">
        <v>39</v>
      </c>
      <c r="O15" s="2" t="s">
        <v>39</v>
      </c>
      <c r="P15" s="2" t="s">
        <v>39</v>
      </c>
      <c r="Q15" s="2" t="s">
        <v>162</v>
      </c>
      <c r="R15" s="2" t="s">
        <v>41</v>
      </c>
      <c r="S15" s="2"/>
      <c r="T15" s="2" t="s">
        <v>39</v>
      </c>
      <c r="U15" s="2" t="s">
        <v>42</v>
      </c>
      <c r="V15" s="2" t="s">
        <v>43</v>
      </c>
      <c r="W15" s="2"/>
      <c r="X15" s="2"/>
      <c r="Y15" s="2" t="s">
        <v>39</v>
      </c>
      <c r="Z15" s="2" t="s">
        <v>39</v>
      </c>
      <c r="AA15" s="2"/>
      <c r="AB15" s="2" t="s">
        <v>44</v>
      </c>
      <c r="AC15" s="2" t="s">
        <v>45</v>
      </c>
    </row>
    <row r="16" spans="1:29" x14ac:dyDescent="0.3">
      <c r="A16" s="2" t="s">
        <v>163</v>
      </c>
      <c r="B16" s="2" t="s">
        <v>164</v>
      </c>
      <c r="C16" s="2" t="s">
        <v>165</v>
      </c>
      <c r="D16" s="2" t="s">
        <v>166</v>
      </c>
      <c r="E16" s="2" t="s">
        <v>167</v>
      </c>
      <c r="F16" s="2" t="s">
        <v>168</v>
      </c>
      <c r="G16" s="2" t="s">
        <v>169</v>
      </c>
      <c r="H16" s="2" t="s">
        <v>170</v>
      </c>
      <c r="I16" s="2" t="s">
        <v>37</v>
      </c>
      <c r="J16" s="2"/>
      <c r="K16" s="2" t="s">
        <v>38</v>
      </c>
      <c r="L16" s="2" t="s">
        <v>39</v>
      </c>
      <c r="M16" s="2" t="s">
        <v>39</v>
      </c>
      <c r="N16" s="2" t="s">
        <v>39</v>
      </c>
      <c r="O16" s="2" t="s">
        <v>39</v>
      </c>
      <c r="P16" s="2" t="s">
        <v>39</v>
      </c>
      <c r="Q16" s="2" t="s">
        <v>171</v>
      </c>
      <c r="R16" s="2" t="s">
        <v>41</v>
      </c>
      <c r="S16" s="2"/>
      <c r="T16" s="2" t="s">
        <v>39</v>
      </c>
      <c r="U16" s="2" t="s">
        <v>42</v>
      </c>
      <c r="V16" s="2" t="s">
        <v>43</v>
      </c>
      <c r="W16" s="2"/>
      <c r="X16" s="2"/>
      <c r="Y16" s="2" t="s">
        <v>39</v>
      </c>
      <c r="Z16" s="2" t="s">
        <v>39</v>
      </c>
      <c r="AA16" s="2"/>
      <c r="AB16" s="2" t="s">
        <v>44</v>
      </c>
      <c r="AC16" s="2" t="s">
        <v>45</v>
      </c>
    </row>
    <row r="17" spans="1:29" x14ac:dyDescent="0.3">
      <c r="A17" s="2" t="s">
        <v>172</v>
      </c>
      <c r="B17" s="2" t="s">
        <v>173</v>
      </c>
      <c r="C17" s="2" t="s">
        <v>174</v>
      </c>
      <c r="D17" s="2" t="s">
        <v>175</v>
      </c>
      <c r="E17" s="2" t="s">
        <v>176</v>
      </c>
      <c r="F17" s="2" t="s">
        <v>177</v>
      </c>
      <c r="G17" s="2" t="s">
        <v>178</v>
      </c>
      <c r="H17" s="2" t="s">
        <v>179</v>
      </c>
      <c r="I17" s="2" t="s">
        <v>37</v>
      </c>
      <c r="J17" s="2"/>
      <c r="K17" s="2" t="s">
        <v>38</v>
      </c>
      <c r="L17" s="2" t="s">
        <v>39</v>
      </c>
      <c r="M17" s="2" t="s">
        <v>39</v>
      </c>
      <c r="N17" s="2" t="s">
        <v>39</v>
      </c>
      <c r="O17" s="2" t="s">
        <v>39</v>
      </c>
      <c r="P17" s="2" t="s">
        <v>39</v>
      </c>
      <c r="Q17" s="2" t="s">
        <v>180</v>
      </c>
      <c r="R17" s="2" t="s">
        <v>41</v>
      </c>
      <c r="S17" s="2"/>
      <c r="T17" s="2" t="s">
        <v>39</v>
      </c>
      <c r="U17" s="2" t="s">
        <v>42</v>
      </c>
      <c r="V17" s="2" t="s">
        <v>43</v>
      </c>
      <c r="W17" s="2"/>
      <c r="X17" s="2"/>
      <c r="Y17" s="2" t="s">
        <v>39</v>
      </c>
      <c r="Z17" s="2" t="s">
        <v>39</v>
      </c>
      <c r="AA17" s="2"/>
      <c r="AB17" s="2" t="s">
        <v>44</v>
      </c>
      <c r="AC17" s="2" t="s">
        <v>45</v>
      </c>
    </row>
    <row r="18" spans="1:29" x14ac:dyDescent="0.3">
      <c r="A18" s="2" t="s">
        <v>181</v>
      </c>
      <c r="B18" s="2" t="s">
        <v>182</v>
      </c>
      <c r="C18" s="2" t="s">
        <v>183</v>
      </c>
      <c r="D18" s="2" t="s">
        <v>184</v>
      </c>
      <c r="E18" s="2" t="s">
        <v>185</v>
      </c>
      <c r="F18" s="2" t="s">
        <v>186</v>
      </c>
      <c r="G18" s="2" t="s">
        <v>187</v>
      </c>
      <c r="H18" s="2" t="s">
        <v>188</v>
      </c>
      <c r="I18" s="2" t="s">
        <v>37</v>
      </c>
      <c r="J18" s="2"/>
      <c r="K18" s="2" t="s">
        <v>38</v>
      </c>
      <c r="L18" s="2" t="s">
        <v>39</v>
      </c>
      <c r="M18" s="2" t="s">
        <v>39</v>
      </c>
      <c r="N18" s="2" t="s">
        <v>39</v>
      </c>
      <c r="O18" s="2" t="s">
        <v>39</v>
      </c>
      <c r="P18" s="2" t="s">
        <v>39</v>
      </c>
      <c r="Q18" s="2" t="s">
        <v>189</v>
      </c>
      <c r="R18" s="2" t="s">
        <v>41</v>
      </c>
      <c r="S18" s="2"/>
      <c r="T18" s="2" t="s">
        <v>39</v>
      </c>
      <c r="U18" s="2" t="s">
        <v>42</v>
      </c>
      <c r="V18" s="2" t="s">
        <v>43</v>
      </c>
      <c r="W18" s="2"/>
      <c r="X18" s="2"/>
      <c r="Y18" s="2" t="s">
        <v>39</v>
      </c>
      <c r="Z18" s="2" t="s">
        <v>39</v>
      </c>
      <c r="AA18" s="2"/>
      <c r="AB18" s="2" t="s">
        <v>44</v>
      </c>
      <c r="AC18" s="2" t="s">
        <v>45</v>
      </c>
    </row>
    <row r="19" spans="1:29" x14ac:dyDescent="0.3">
      <c r="A19" s="2" t="s">
        <v>190</v>
      </c>
      <c r="B19" s="2" t="s">
        <v>191</v>
      </c>
      <c r="C19" s="2" t="s">
        <v>192</v>
      </c>
      <c r="D19" s="2" t="s">
        <v>193</v>
      </c>
      <c r="E19" s="2" t="s">
        <v>194</v>
      </c>
      <c r="F19" s="2" t="s">
        <v>195</v>
      </c>
      <c r="G19" s="2" t="s">
        <v>196</v>
      </c>
      <c r="H19" s="2" t="s">
        <v>197</v>
      </c>
      <c r="I19" s="2" t="s">
        <v>37</v>
      </c>
      <c r="J19" s="2"/>
      <c r="K19" s="2" t="s">
        <v>38</v>
      </c>
      <c r="L19" s="2" t="s">
        <v>39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198</v>
      </c>
      <c r="R19" s="2" t="s">
        <v>41</v>
      </c>
      <c r="S19" s="2"/>
      <c r="T19" s="2" t="s">
        <v>39</v>
      </c>
      <c r="U19" s="2" t="s">
        <v>42</v>
      </c>
      <c r="V19" s="2" t="s">
        <v>43</v>
      </c>
      <c r="W19" s="2"/>
      <c r="X19" s="2"/>
      <c r="Y19" s="2" t="s">
        <v>39</v>
      </c>
      <c r="Z19" s="2" t="s">
        <v>39</v>
      </c>
      <c r="AA19" s="2"/>
      <c r="AB19" s="2" t="s">
        <v>44</v>
      </c>
      <c r="AC19" s="2" t="s">
        <v>45</v>
      </c>
    </row>
    <row r="20" spans="1:29" x14ac:dyDescent="0.3">
      <c r="A20" s="2" t="s">
        <v>199</v>
      </c>
      <c r="B20" s="2" t="s">
        <v>200</v>
      </c>
      <c r="C20" s="2" t="s">
        <v>201</v>
      </c>
      <c r="D20" s="2" t="s">
        <v>202</v>
      </c>
      <c r="E20" s="2" t="s">
        <v>203</v>
      </c>
      <c r="F20" s="2" t="s">
        <v>204</v>
      </c>
      <c r="G20" s="2" t="s">
        <v>205</v>
      </c>
      <c r="H20" s="2" t="s">
        <v>206</v>
      </c>
      <c r="I20" s="2" t="s">
        <v>37</v>
      </c>
      <c r="J20" s="2"/>
      <c r="K20" s="2" t="s">
        <v>38</v>
      </c>
      <c r="L20" s="2" t="s">
        <v>39</v>
      </c>
      <c r="M20" s="2" t="s">
        <v>39</v>
      </c>
      <c r="N20" s="2" t="s">
        <v>39</v>
      </c>
      <c r="O20" s="2" t="s">
        <v>39</v>
      </c>
      <c r="P20" s="2" t="s">
        <v>39</v>
      </c>
      <c r="Q20" s="2" t="s">
        <v>207</v>
      </c>
      <c r="R20" s="2" t="s">
        <v>41</v>
      </c>
      <c r="S20" s="2"/>
      <c r="T20" s="2" t="s">
        <v>39</v>
      </c>
      <c r="U20" s="2" t="s">
        <v>42</v>
      </c>
      <c r="V20" s="2" t="s">
        <v>43</v>
      </c>
      <c r="W20" s="2"/>
      <c r="X20" s="2"/>
      <c r="Y20" s="2" t="s">
        <v>39</v>
      </c>
      <c r="Z20" s="2" t="s">
        <v>39</v>
      </c>
      <c r="AA20" s="2"/>
      <c r="AB20" s="2" t="s">
        <v>44</v>
      </c>
      <c r="AC20" s="2" t="s">
        <v>45</v>
      </c>
    </row>
    <row r="21" spans="1:29" ht="28.8" x14ac:dyDescent="0.3">
      <c r="A21" s="2" t="s">
        <v>208</v>
      </c>
      <c r="B21" s="2" t="s">
        <v>209</v>
      </c>
      <c r="C21" s="2" t="s">
        <v>210</v>
      </c>
      <c r="D21" s="2" t="s">
        <v>211</v>
      </c>
      <c r="E21" s="2" t="s">
        <v>212</v>
      </c>
      <c r="F21" s="2" t="s">
        <v>213</v>
      </c>
      <c r="G21" s="2" t="s">
        <v>214</v>
      </c>
      <c r="H21" s="2" t="s">
        <v>215</v>
      </c>
      <c r="I21" s="2" t="s">
        <v>37</v>
      </c>
      <c r="J21" s="2"/>
      <c r="K21" s="2" t="s">
        <v>38</v>
      </c>
      <c r="L21" s="2" t="s">
        <v>39</v>
      </c>
      <c r="M21" s="2" t="s">
        <v>39</v>
      </c>
      <c r="N21" s="2" t="s">
        <v>39</v>
      </c>
      <c r="O21" s="2" t="s">
        <v>39</v>
      </c>
      <c r="P21" s="2" t="s">
        <v>39</v>
      </c>
      <c r="Q21" s="2" t="s">
        <v>216</v>
      </c>
      <c r="R21" s="2" t="s">
        <v>41</v>
      </c>
      <c r="S21" s="2"/>
      <c r="T21" s="2" t="s">
        <v>39</v>
      </c>
      <c r="U21" s="2" t="s">
        <v>42</v>
      </c>
      <c r="V21" s="2" t="s">
        <v>43</v>
      </c>
      <c r="W21" s="2"/>
      <c r="X21" s="2"/>
      <c r="Y21" s="2" t="s">
        <v>39</v>
      </c>
      <c r="Z21" s="2" t="s">
        <v>39</v>
      </c>
      <c r="AA21" s="2"/>
      <c r="AB21" s="2" t="s">
        <v>44</v>
      </c>
      <c r="AC21" s="2" t="s">
        <v>45</v>
      </c>
    </row>
    <row r="22" spans="1:29" x14ac:dyDescent="0.3">
      <c r="A22" s="2" t="s">
        <v>217</v>
      </c>
      <c r="B22" s="2" t="s">
        <v>218</v>
      </c>
      <c r="C22" s="2" t="s">
        <v>219</v>
      </c>
      <c r="D22" s="2" t="s">
        <v>220</v>
      </c>
      <c r="E22" s="2" t="s">
        <v>221</v>
      </c>
      <c r="F22" s="2" t="s">
        <v>222</v>
      </c>
      <c r="G22" s="2" t="s">
        <v>223</v>
      </c>
      <c r="H22" s="2" t="s">
        <v>224</v>
      </c>
      <c r="I22" s="2" t="s">
        <v>37</v>
      </c>
      <c r="J22" s="2"/>
      <c r="K22" s="2" t="s">
        <v>38</v>
      </c>
      <c r="L22" s="2" t="s">
        <v>39</v>
      </c>
      <c r="M22" s="2" t="s">
        <v>39</v>
      </c>
      <c r="N22" s="2" t="s">
        <v>39</v>
      </c>
      <c r="O22" s="2" t="s">
        <v>39</v>
      </c>
      <c r="P22" s="2" t="s">
        <v>39</v>
      </c>
      <c r="Q22" s="2" t="s">
        <v>225</v>
      </c>
      <c r="R22" s="2" t="s">
        <v>41</v>
      </c>
      <c r="S22" s="2"/>
      <c r="T22" s="2" t="s">
        <v>39</v>
      </c>
      <c r="U22" s="2" t="s">
        <v>42</v>
      </c>
      <c r="V22" s="2" t="s">
        <v>43</v>
      </c>
      <c r="W22" s="2"/>
      <c r="X22" s="2"/>
      <c r="Y22" s="2" t="s">
        <v>39</v>
      </c>
      <c r="Z22" s="2" t="s">
        <v>39</v>
      </c>
      <c r="AA22" s="2"/>
      <c r="AB22" s="2" t="s">
        <v>44</v>
      </c>
      <c r="AC22" s="2" t="s">
        <v>45</v>
      </c>
    </row>
    <row r="23" spans="1:29" ht="28.8" x14ac:dyDescent="0.3">
      <c r="A23" s="2" t="s">
        <v>226</v>
      </c>
      <c r="B23" s="2" t="s">
        <v>227</v>
      </c>
      <c r="C23" s="2" t="s">
        <v>228</v>
      </c>
      <c r="D23" s="2" t="s">
        <v>229</v>
      </c>
      <c r="E23" s="2" t="s">
        <v>230</v>
      </c>
      <c r="F23" s="2" t="s">
        <v>231</v>
      </c>
      <c r="G23" s="2" t="s">
        <v>232</v>
      </c>
      <c r="H23" s="2" t="s">
        <v>233</v>
      </c>
      <c r="I23" s="2" t="s">
        <v>37</v>
      </c>
      <c r="J23" s="2"/>
      <c r="K23" s="2" t="s">
        <v>38</v>
      </c>
      <c r="L23" s="2" t="s">
        <v>39</v>
      </c>
      <c r="M23" s="2" t="s">
        <v>39</v>
      </c>
      <c r="N23" s="2" t="s">
        <v>39</v>
      </c>
      <c r="O23" s="2" t="s">
        <v>39</v>
      </c>
      <c r="P23" s="2" t="s">
        <v>39</v>
      </c>
      <c r="Q23" s="2" t="s">
        <v>234</v>
      </c>
      <c r="R23" s="2" t="s">
        <v>41</v>
      </c>
      <c r="S23" s="2"/>
      <c r="T23" s="2" t="s">
        <v>39</v>
      </c>
      <c r="U23" s="2" t="s">
        <v>42</v>
      </c>
      <c r="V23" s="2" t="s">
        <v>43</v>
      </c>
      <c r="W23" s="2"/>
      <c r="X23" s="2"/>
      <c r="Y23" s="2" t="s">
        <v>39</v>
      </c>
      <c r="Z23" s="2" t="s">
        <v>39</v>
      </c>
      <c r="AA23" s="2"/>
      <c r="AB23" s="2" t="s">
        <v>44</v>
      </c>
      <c r="AC23" s="2" t="s">
        <v>45</v>
      </c>
    </row>
    <row r="24" spans="1:29" x14ac:dyDescent="0.3">
      <c r="A24" s="2" t="s">
        <v>235</v>
      </c>
      <c r="B24" s="2" t="s">
        <v>236</v>
      </c>
      <c r="C24" s="2" t="s">
        <v>237</v>
      </c>
      <c r="D24" s="2" t="s">
        <v>238</v>
      </c>
      <c r="E24" s="2" t="s">
        <v>239</v>
      </c>
      <c r="F24" s="2" t="s">
        <v>240</v>
      </c>
      <c r="G24" s="2" t="s">
        <v>241</v>
      </c>
      <c r="H24" s="2" t="s">
        <v>242</v>
      </c>
      <c r="I24" s="2" t="s">
        <v>37</v>
      </c>
      <c r="J24" s="2"/>
      <c r="K24" s="2" t="s">
        <v>38</v>
      </c>
      <c r="L24" s="2" t="s">
        <v>39</v>
      </c>
      <c r="M24" s="2" t="s">
        <v>39</v>
      </c>
      <c r="N24" s="2" t="s">
        <v>39</v>
      </c>
      <c r="O24" s="2" t="s">
        <v>39</v>
      </c>
      <c r="P24" s="2" t="s">
        <v>39</v>
      </c>
      <c r="Q24" s="2" t="s">
        <v>243</v>
      </c>
      <c r="R24" s="2" t="s">
        <v>41</v>
      </c>
      <c r="S24" s="2"/>
      <c r="T24" s="2" t="s">
        <v>39</v>
      </c>
      <c r="U24" s="2" t="s">
        <v>42</v>
      </c>
      <c r="V24" s="2" t="s">
        <v>43</v>
      </c>
      <c r="W24" s="2"/>
      <c r="X24" s="2"/>
      <c r="Y24" s="2" t="s">
        <v>39</v>
      </c>
      <c r="Z24" s="2" t="s">
        <v>39</v>
      </c>
      <c r="AA24" s="2"/>
      <c r="AB24" s="2" t="s">
        <v>44</v>
      </c>
      <c r="AC24" s="2" t="s">
        <v>45</v>
      </c>
    </row>
    <row r="25" spans="1:29" x14ac:dyDescent="0.3">
      <c r="A25" s="2" t="s">
        <v>244</v>
      </c>
      <c r="B25" s="2" t="s">
        <v>245</v>
      </c>
      <c r="C25" s="2" t="s">
        <v>246</v>
      </c>
      <c r="D25" s="2" t="s">
        <v>247</v>
      </c>
      <c r="E25" s="2" t="s">
        <v>248</v>
      </c>
      <c r="F25" s="2" t="s">
        <v>249</v>
      </c>
      <c r="G25" s="2" t="s">
        <v>250</v>
      </c>
      <c r="H25" s="2" t="s">
        <v>251</v>
      </c>
      <c r="I25" s="2" t="s">
        <v>37</v>
      </c>
      <c r="J25" s="2"/>
      <c r="K25" s="2" t="s">
        <v>38</v>
      </c>
      <c r="L25" s="2" t="s">
        <v>39</v>
      </c>
      <c r="M25" s="2" t="s">
        <v>39</v>
      </c>
      <c r="N25" s="2" t="s">
        <v>39</v>
      </c>
      <c r="O25" s="2" t="s">
        <v>39</v>
      </c>
      <c r="P25" s="2" t="s">
        <v>39</v>
      </c>
      <c r="Q25" s="2" t="s">
        <v>252</v>
      </c>
      <c r="R25" s="2" t="s">
        <v>41</v>
      </c>
      <c r="S25" s="2"/>
      <c r="T25" s="2" t="s">
        <v>39</v>
      </c>
      <c r="U25" s="2" t="s">
        <v>42</v>
      </c>
      <c r="V25" s="2" t="s">
        <v>43</v>
      </c>
      <c r="W25" s="2"/>
      <c r="X25" s="2"/>
      <c r="Y25" s="2" t="s">
        <v>39</v>
      </c>
      <c r="Z25" s="2" t="s">
        <v>39</v>
      </c>
      <c r="AA25" s="2"/>
      <c r="AB25" s="2" t="s">
        <v>44</v>
      </c>
      <c r="AC25" s="2" t="s">
        <v>45</v>
      </c>
    </row>
    <row r="26" spans="1:29" x14ac:dyDescent="0.3">
      <c r="A26" s="2" t="s">
        <v>253</v>
      </c>
      <c r="B26" s="2" t="s">
        <v>254</v>
      </c>
      <c r="C26" s="2" t="s">
        <v>255</v>
      </c>
      <c r="D26" s="2" t="s">
        <v>256</v>
      </c>
      <c r="E26" s="2" t="s">
        <v>257</v>
      </c>
      <c r="F26" s="2" t="s">
        <v>258</v>
      </c>
      <c r="G26" s="2" t="s">
        <v>259</v>
      </c>
      <c r="H26" s="2" t="s">
        <v>260</v>
      </c>
      <c r="I26" s="2" t="s">
        <v>37</v>
      </c>
      <c r="J26" s="2"/>
      <c r="K26" s="2" t="s">
        <v>38</v>
      </c>
      <c r="L26" s="2" t="s">
        <v>39</v>
      </c>
      <c r="M26" s="2" t="s">
        <v>39</v>
      </c>
      <c r="N26" s="2" t="s">
        <v>39</v>
      </c>
      <c r="O26" s="2" t="s">
        <v>39</v>
      </c>
      <c r="P26" s="2" t="s">
        <v>39</v>
      </c>
      <c r="Q26" s="2" t="s">
        <v>261</v>
      </c>
      <c r="R26" s="2" t="s">
        <v>41</v>
      </c>
      <c r="S26" s="2"/>
      <c r="T26" s="2" t="s">
        <v>39</v>
      </c>
      <c r="U26" s="2" t="s">
        <v>42</v>
      </c>
      <c r="V26" s="2" t="s">
        <v>43</v>
      </c>
      <c r="W26" s="2"/>
      <c r="X26" s="2"/>
      <c r="Y26" s="2" t="s">
        <v>39</v>
      </c>
      <c r="Z26" s="2" t="s">
        <v>39</v>
      </c>
      <c r="AA26" s="2"/>
      <c r="AB26" s="2" t="s">
        <v>44</v>
      </c>
      <c r="AC26" s="2" t="s">
        <v>45</v>
      </c>
    </row>
    <row r="27" spans="1:29" x14ac:dyDescent="0.3">
      <c r="A27" s="2" t="s">
        <v>262</v>
      </c>
      <c r="B27" s="2" t="s">
        <v>263</v>
      </c>
      <c r="C27" s="2" t="s">
        <v>264</v>
      </c>
      <c r="D27" s="2" t="s">
        <v>265</v>
      </c>
      <c r="E27" s="2" t="s">
        <v>266</v>
      </c>
      <c r="F27" s="2" t="s">
        <v>267</v>
      </c>
      <c r="G27" s="2" t="s">
        <v>268</v>
      </c>
      <c r="H27" s="2" t="s">
        <v>269</v>
      </c>
      <c r="I27" s="2" t="s">
        <v>37</v>
      </c>
      <c r="J27" s="2"/>
      <c r="K27" s="2" t="s">
        <v>38</v>
      </c>
      <c r="L27" s="2" t="s">
        <v>39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270</v>
      </c>
      <c r="R27" s="2" t="s">
        <v>41</v>
      </c>
      <c r="S27" s="2"/>
      <c r="T27" s="2" t="s">
        <v>39</v>
      </c>
      <c r="U27" s="2" t="s">
        <v>42</v>
      </c>
      <c r="V27" s="2" t="s">
        <v>43</v>
      </c>
      <c r="W27" s="2"/>
      <c r="X27" s="2"/>
      <c r="Y27" s="2" t="s">
        <v>39</v>
      </c>
      <c r="Z27" s="2" t="s">
        <v>39</v>
      </c>
      <c r="AA27" s="2"/>
      <c r="AB27" s="2" t="s">
        <v>44</v>
      </c>
      <c r="AC27" s="2" t="s">
        <v>45</v>
      </c>
    </row>
    <row r="28" spans="1:29" ht="28.8" x14ac:dyDescent="0.3">
      <c r="A28" s="2" t="s">
        <v>271</v>
      </c>
      <c r="B28" s="2" t="s">
        <v>272</v>
      </c>
      <c r="C28" s="2" t="s">
        <v>273</v>
      </c>
      <c r="D28" s="2" t="s">
        <v>274</v>
      </c>
      <c r="E28" s="2" t="s">
        <v>275</v>
      </c>
      <c r="F28" s="2" t="s">
        <v>276</v>
      </c>
      <c r="G28" s="2" t="s">
        <v>277</v>
      </c>
      <c r="H28" s="2" t="s">
        <v>278</v>
      </c>
      <c r="I28" s="2" t="s">
        <v>37</v>
      </c>
      <c r="J28" s="2"/>
      <c r="K28" s="2" t="s">
        <v>38</v>
      </c>
      <c r="L28" s="2" t="s">
        <v>39</v>
      </c>
      <c r="M28" s="2" t="s">
        <v>39</v>
      </c>
      <c r="N28" s="2" t="s">
        <v>39</v>
      </c>
      <c r="O28" s="2" t="s">
        <v>39</v>
      </c>
      <c r="P28" s="2" t="s">
        <v>39</v>
      </c>
      <c r="Q28" s="2" t="s">
        <v>279</v>
      </c>
      <c r="R28" s="2" t="s">
        <v>41</v>
      </c>
      <c r="S28" s="2"/>
      <c r="T28" s="2" t="s">
        <v>39</v>
      </c>
      <c r="U28" s="2" t="s">
        <v>42</v>
      </c>
      <c r="V28" s="2" t="s">
        <v>43</v>
      </c>
      <c r="W28" s="2"/>
      <c r="X28" s="2"/>
      <c r="Y28" s="2" t="s">
        <v>39</v>
      </c>
      <c r="Z28" s="2" t="s">
        <v>39</v>
      </c>
      <c r="AA28" s="2"/>
      <c r="AB28" s="2" t="s">
        <v>44</v>
      </c>
      <c r="AC28" s="2" t="s">
        <v>45</v>
      </c>
    </row>
    <row r="29" spans="1:29" x14ac:dyDescent="0.3">
      <c r="A29" s="2" t="s">
        <v>280</v>
      </c>
      <c r="B29" s="2" t="s">
        <v>281</v>
      </c>
      <c r="C29" s="2" t="s">
        <v>282</v>
      </c>
      <c r="D29" s="2" t="s">
        <v>283</v>
      </c>
      <c r="E29" s="2" t="s">
        <v>284</v>
      </c>
      <c r="F29" s="2" t="s">
        <v>285</v>
      </c>
      <c r="G29" s="2" t="s">
        <v>286</v>
      </c>
      <c r="H29" s="2" t="s">
        <v>287</v>
      </c>
      <c r="I29" s="2" t="s">
        <v>37</v>
      </c>
      <c r="J29" s="2"/>
      <c r="K29" s="2" t="s">
        <v>38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288</v>
      </c>
      <c r="R29" s="2" t="s">
        <v>41</v>
      </c>
      <c r="S29" s="2"/>
      <c r="T29" s="2" t="s">
        <v>39</v>
      </c>
      <c r="U29" s="2" t="s">
        <v>42</v>
      </c>
      <c r="V29" s="2" t="s">
        <v>43</v>
      </c>
      <c r="W29" s="2"/>
      <c r="X29" s="2"/>
      <c r="Y29" s="2" t="s">
        <v>39</v>
      </c>
      <c r="Z29" s="2" t="s">
        <v>39</v>
      </c>
      <c r="AA29" s="2"/>
      <c r="AB29" s="2" t="s">
        <v>44</v>
      </c>
      <c r="AC29" s="2" t="s">
        <v>45</v>
      </c>
    </row>
    <row r="30" spans="1:29" x14ac:dyDescent="0.3">
      <c r="A30" s="2" t="s">
        <v>289</v>
      </c>
      <c r="B30" s="2" t="s">
        <v>290</v>
      </c>
      <c r="C30" s="2" t="s">
        <v>291</v>
      </c>
      <c r="D30" s="2" t="s">
        <v>292</v>
      </c>
      <c r="E30" s="2" t="s">
        <v>293</v>
      </c>
      <c r="F30" s="2" t="s">
        <v>294</v>
      </c>
      <c r="G30" s="2" t="s">
        <v>295</v>
      </c>
      <c r="H30" s="2" t="s">
        <v>296</v>
      </c>
      <c r="I30" s="2" t="s">
        <v>37</v>
      </c>
      <c r="J30" s="2"/>
      <c r="K30" s="2" t="s">
        <v>38</v>
      </c>
      <c r="L30" s="2" t="s">
        <v>39</v>
      </c>
      <c r="M30" s="2" t="s">
        <v>39</v>
      </c>
      <c r="N30" s="2" t="s">
        <v>39</v>
      </c>
      <c r="O30" s="2" t="s">
        <v>39</v>
      </c>
      <c r="P30" s="2" t="s">
        <v>39</v>
      </c>
      <c r="Q30" s="2" t="s">
        <v>297</v>
      </c>
      <c r="R30" s="2" t="s">
        <v>41</v>
      </c>
      <c r="S30" s="2"/>
      <c r="T30" s="2" t="s">
        <v>39</v>
      </c>
      <c r="U30" s="2" t="s">
        <v>42</v>
      </c>
      <c r="V30" s="2" t="s">
        <v>43</v>
      </c>
      <c r="W30" s="2"/>
      <c r="X30" s="2"/>
      <c r="Y30" s="2" t="s">
        <v>39</v>
      </c>
      <c r="Z30" s="2" t="s">
        <v>39</v>
      </c>
      <c r="AA30" s="2"/>
      <c r="AB30" s="2" t="s">
        <v>44</v>
      </c>
      <c r="AC30" s="2" t="s">
        <v>45</v>
      </c>
    </row>
    <row r="31" spans="1:29" x14ac:dyDescent="0.3">
      <c r="A31" s="2" t="s">
        <v>298</v>
      </c>
      <c r="B31" s="2" t="s">
        <v>299</v>
      </c>
      <c r="C31" s="2" t="s">
        <v>300</v>
      </c>
      <c r="D31" s="2" t="s">
        <v>301</v>
      </c>
      <c r="E31" s="2" t="s">
        <v>302</v>
      </c>
      <c r="F31" s="2" t="s">
        <v>303</v>
      </c>
      <c r="G31" s="2" t="s">
        <v>304</v>
      </c>
      <c r="H31" s="2" t="s">
        <v>305</v>
      </c>
      <c r="I31" s="2" t="s">
        <v>37</v>
      </c>
      <c r="J31" s="2"/>
      <c r="K31" s="2" t="s">
        <v>38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306</v>
      </c>
      <c r="R31" s="2" t="s">
        <v>41</v>
      </c>
      <c r="S31" s="2"/>
      <c r="T31" s="2" t="s">
        <v>39</v>
      </c>
      <c r="U31" s="2" t="s">
        <v>42</v>
      </c>
      <c r="V31" s="2" t="s">
        <v>43</v>
      </c>
      <c r="W31" s="2"/>
      <c r="X31" s="2"/>
      <c r="Y31" s="2" t="s">
        <v>39</v>
      </c>
      <c r="Z31" s="2" t="s">
        <v>39</v>
      </c>
      <c r="AA31" s="2"/>
      <c r="AB31" s="2" t="s">
        <v>44</v>
      </c>
      <c r="AC31" s="2" t="s">
        <v>45</v>
      </c>
    </row>
  </sheetData>
  <dataValidations count="7">
    <dataValidation type="list" allowBlank="1" sqref="L2:N31" xr:uid="{00000000-0002-0000-0000-000000000000}">
      <formula1>"Pass,Fail,Pending,Not Applicable"</formula1>
    </dataValidation>
    <dataValidation type="list" allowBlank="1" sqref="O2:O31" xr:uid="{00000000-0002-0000-0000-000003000000}">
      <formula1>"Verified,Questionable,Rejected,Pending,Not Applicable"</formula1>
    </dataValidation>
    <dataValidation type="list" allowBlank="1" sqref="P2:P31" xr:uid="{00000000-0002-0000-0000-000004000000}">
      <formula1>"Traceable,Partially Traceable,Not Traceable,Pending"</formula1>
    </dataValidation>
    <dataValidation type="list" allowBlank="1" sqref="T2:T31" xr:uid="{00000000-0002-0000-0000-000005000000}">
      <formula1>"Low,Medium,High,Critical,Pending"</formula1>
    </dataValidation>
    <dataValidation type="list" allowBlank="1" sqref="Y2:Y31" xr:uid="{00000000-0002-0000-0000-000006000000}">
      <formula1>"Verified,Partially Verified,Rejected,Pending"</formula1>
    </dataValidation>
    <dataValidation type="list" allowBlank="1" sqref="Z2:Z31" xr:uid="{00000000-0002-0000-0000-000007000000}">
      <formula1>"Close,Keep Open,Escalate,Pending"</formula1>
    </dataValidation>
    <dataValidation type="list" allowBlank="1" sqref="AB2:AB31" xr:uid="{00000000-0002-0000-0000-000008000000}">
      <formula1>"Open,In Progress,Pending Validation,Closed,Rejected"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C11"/>
  <sheetViews>
    <sheetView workbookViewId="0">
      <selection activeCell="B8" sqref="A1:C11"/>
    </sheetView>
  </sheetViews>
  <sheetFormatPr defaultRowHeight="14.4" x14ac:dyDescent="0.3"/>
  <cols>
    <col min="1" max="1" width="12" customWidth="1"/>
    <col min="2" max="2" width="45" customWidth="1"/>
    <col min="3" max="3" width="90" customWidth="1"/>
  </cols>
  <sheetData>
    <row r="1" spans="1:3" x14ac:dyDescent="0.3">
      <c r="A1" s="3" t="s">
        <v>307</v>
      </c>
      <c r="B1" s="3" t="s">
        <v>308</v>
      </c>
      <c r="C1" s="3" t="s">
        <v>309</v>
      </c>
    </row>
    <row r="2" spans="1:3" x14ac:dyDescent="0.3">
      <c r="A2" s="2" t="s">
        <v>310</v>
      </c>
      <c r="B2" s="2" t="s">
        <v>311</v>
      </c>
      <c r="C2" s="2" t="s">
        <v>312</v>
      </c>
    </row>
    <row r="3" spans="1:3" x14ac:dyDescent="0.3">
      <c r="A3" s="2" t="s">
        <v>313</v>
      </c>
      <c r="B3" s="2" t="s">
        <v>314</v>
      </c>
      <c r="C3" s="2" t="s">
        <v>315</v>
      </c>
    </row>
    <row r="4" spans="1:3" x14ac:dyDescent="0.3">
      <c r="A4" s="2" t="s">
        <v>316</v>
      </c>
      <c r="B4" s="2" t="s">
        <v>317</v>
      </c>
      <c r="C4" s="2" t="s">
        <v>318</v>
      </c>
    </row>
    <row r="5" spans="1:3" x14ac:dyDescent="0.3">
      <c r="A5" s="2" t="s">
        <v>319</v>
      </c>
      <c r="B5" s="2" t="s">
        <v>320</v>
      </c>
      <c r="C5" s="2" t="s">
        <v>321</v>
      </c>
    </row>
    <row r="6" spans="1:3" x14ac:dyDescent="0.3">
      <c r="A6" s="2" t="s">
        <v>322</v>
      </c>
      <c r="B6" s="2" t="s">
        <v>323</v>
      </c>
      <c r="C6" s="2" t="s">
        <v>324</v>
      </c>
    </row>
    <row r="7" spans="1:3" x14ac:dyDescent="0.3">
      <c r="A7" s="2" t="s">
        <v>325</v>
      </c>
      <c r="B7" s="2" t="s">
        <v>326</v>
      </c>
      <c r="C7" s="2" t="s">
        <v>327</v>
      </c>
    </row>
    <row r="8" spans="1:3" x14ac:dyDescent="0.3">
      <c r="A8" s="2" t="s">
        <v>328</v>
      </c>
      <c r="B8" s="2" t="s">
        <v>329</v>
      </c>
      <c r="C8" s="2" t="s">
        <v>330</v>
      </c>
    </row>
    <row r="9" spans="1:3" x14ac:dyDescent="0.3">
      <c r="A9" s="2" t="s">
        <v>331</v>
      </c>
      <c r="B9" s="2" t="s">
        <v>332</v>
      </c>
      <c r="C9" s="2" t="s">
        <v>333</v>
      </c>
    </row>
    <row r="10" spans="1:3" x14ac:dyDescent="0.3">
      <c r="A10" s="2" t="s">
        <v>334</v>
      </c>
      <c r="B10" s="2" t="s">
        <v>335</v>
      </c>
      <c r="C10" s="2" t="s">
        <v>336</v>
      </c>
    </row>
    <row r="11" spans="1:3" x14ac:dyDescent="0.3">
      <c r="A11" s="2" t="s">
        <v>337</v>
      </c>
      <c r="B11" s="2" t="s">
        <v>338</v>
      </c>
      <c r="C11" s="2" t="s">
        <v>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C8"/>
  <sheetViews>
    <sheetView workbookViewId="0">
      <selection activeCell="C7" sqref="A1:C8"/>
    </sheetView>
  </sheetViews>
  <sheetFormatPr defaultRowHeight="14.4" x14ac:dyDescent="0.3"/>
  <cols>
    <col min="1" max="1" width="34" customWidth="1"/>
    <col min="2" max="2" width="28" customWidth="1"/>
    <col min="3" max="3" width="90" customWidth="1"/>
  </cols>
  <sheetData>
    <row r="1" spans="1:3" x14ac:dyDescent="0.3">
      <c r="A1" s="3" t="s">
        <v>340</v>
      </c>
      <c r="B1" s="3" t="s">
        <v>341</v>
      </c>
      <c r="C1" s="3" t="s">
        <v>342</v>
      </c>
    </row>
    <row r="2" spans="1:3" x14ac:dyDescent="0.3">
      <c r="A2" s="2" t="s">
        <v>343</v>
      </c>
      <c r="B2" s="2">
        <v>30</v>
      </c>
      <c r="C2" s="2" t="s">
        <v>344</v>
      </c>
    </row>
    <row r="3" spans="1:3" x14ac:dyDescent="0.3">
      <c r="A3" s="2" t="s">
        <v>345</v>
      </c>
      <c r="B3" s="2">
        <v>30</v>
      </c>
      <c r="C3" s="2" t="s">
        <v>346</v>
      </c>
    </row>
    <row r="4" spans="1:3" x14ac:dyDescent="0.3">
      <c r="A4" s="2" t="s">
        <v>347</v>
      </c>
      <c r="B4" s="2">
        <f>COUNTIF('Validation Closure Matrix'!Y:Y,"Pending")</f>
        <v>30</v>
      </c>
      <c r="C4" s="2" t="s">
        <v>348</v>
      </c>
    </row>
    <row r="5" spans="1:3" x14ac:dyDescent="0.3">
      <c r="A5" s="2" t="s">
        <v>349</v>
      </c>
      <c r="B5" s="2">
        <f>COUNTIF('Validation Closure Matrix'!Y:Y,"Verified")</f>
        <v>0</v>
      </c>
      <c r="C5" s="2" t="s">
        <v>350</v>
      </c>
    </row>
    <row r="6" spans="1:3" x14ac:dyDescent="0.3">
      <c r="A6" s="2" t="s">
        <v>351</v>
      </c>
      <c r="B6" s="2">
        <f>COUNTIF('Validation Closure Matrix'!AB:AB,"Open")</f>
        <v>30</v>
      </c>
      <c r="C6" s="2" t="s">
        <v>352</v>
      </c>
    </row>
    <row r="7" spans="1:3" x14ac:dyDescent="0.3">
      <c r="A7" s="2" t="s">
        <v>353</v>
      </c>
      <c r="B7" s="2">
        <f>COUNTIF('Validation Closure Matrix'!AB:AB,"Closed")</f>
        <v>0</v>
      </c>
      <c r="C7" s="2" t="s">
        <v>354</v>
      </c>
    </row>
    <row r="8" spans="1:3" x14ac:dyDescent="0.3">
      <c r="A8" s="2" t="s">
        <v>355</v>
      </c>
      <c r="B8" s="2" t="s">
        <v>356</v>
      </c>
      <c r="C8" s="2" t="s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B30"/>
  <sheetViews>
    <sheetView workbookViewId="0">
      <selection activeCell="B20" sqref="A1:B30"/>
    </sheetView>
  </sheetViews>
  <sheetFormatPr defaultRowHeight="14.4" x14ac:dyDescent="0.3"/>
  <cols>
    <col min="1" max="1" width="42" customWidth="1"/>
    <col min="2" max="2" width="110" customWidth="1"/>
  </cols>
  <sheetData>
    <row r="1" spans="1:2" x14ac:dyDescent="0.3">
      <c r="A1" s="3" t="s">
        <v>358</v>
      </c>
      <c r="B1" s="3" t="s">
        <v>359</v>
      </c>
    </row>
    <row r="2" spans="1:2" x14ac:dyDescent="0.3">
      <c r="A2" s="2" t="s">
        <v>0</v>
      </c>
      <c r="B2" s="2" t="s">
        <v>360</v>
      </c>
    </row>
    <row r="3" spans="1:2" x14ac:dyDescent="0.3">
      <c r="A3" s="2" t="s">
        <v>1</v>
      </c>
      <c r="B3" s="2" t="s">
        <v>360</v>
      </c>
    </row>
    <row r="4" spans="1:2" x14ac:dyDescent="0.3">
      <c r="A4" s="2" t="s">
        <v>2</v>
      </c>
      <c r="B4" s="2" t="s">
        <v>360</v>
      </c>
    </row>
    <row r="5" spans="1:2" x14ac:dyDescent="0.3">
      <c r="A5" s="2" t="s">
        <v>3</v>
      </c>
      <c r="B5" s="2" t="s">
        <v>360</v>
      </c>
    </row>
    <row r="6" spans="1:2" x14ac:dyDescent="0.3">
      <c r="A6" s="2" t="s">
        <v>4</v>
      </c>
      <c r="B6" s="2" t="s">
        <v>360</v>
      </c>
    </row>
    <row r="7" spans="1:2" x14ac:dyDescent="0.3">
      <c r="A7" s="2" t="s">
        <v>5</v>
      </c>
      <c r="B7" s="2" t="s">
        <v>360</v>
      </c>
    </row>
    <row r="8" spans="1:2" x14ac:dyDescent="0.3">
      <c r="A8" s="2" t="s">
        <v>6</v>
      </c>
      <c r="B8" s="2" t="s">
        <v>360</v>
      </c>
    </row>
    <row r="9" spans="1:2" x14ac:dyDescent="0.3">
      <c r="A9" s="2" t="s">
        <v>7</v>
      </c>
      <c r="B9" s="2" t="s">
        <v>360</v>
      </c>
    </row>
    <row r="10" spans="1:2" x14ac:dyDescent="0.3">
      <c r="A10" s="2" t="s">
        <v>8</v>
      </c>
      <c r="B10" s="2" t="s">
        <v>360</v>
      </c>
    </row>
    <row r="11" spans="1:2" x14ac:dyDescent="0.3">
      <c r="A11" s="2" t="s">
        <v>9</v>
      </c>
      <c r="B11" s="2" t="s">
        <v>360</v>
      </c>
    </row>
    <row r="12" spans="1:2" x14ac:dyDescent="0.3">
      <c r="A12" s="2" t="s">
        <v>10</v>
      </c>
      <c r="B12" s="2" t="s">
        <v>360</v>
      </c>
    </row>
    <row r="13" spans="1:2" x14ac:dyDescent="0.3">
      <c r="A13" s="2" t="s">
        <v>11</v>
      </c>
      <c r="B13" s="2" t="s">
        <v>360</v>
      </c>
    </row>
    <row r="14" spans="1:2" x14ac:dyDescent="0.3">
      <c r="A14" s="2" t="s">
        <v>12</v>
      </c>
      <c r="B14" s="2" t="s">
        <v>360</v>
      </c>
    </row>
    <row r="15" spans="1:2" x14ac:dyDescent="0.3">
      <c r="A15" s="2" t="s">
        <v>13</v>
      </c>
      <c r="B15" s="2" t="s">
        <v>360</v>
      </c>
    </row>
    <row r="16" spans="1:2" x14ac:dyDescent="0.3">
      <c r="A16" s="2" t="s">
        <v>14</v>
      </c>
      <c r="B16" s="2" t="s">
        <v>360</v>
      </c>
    </row>
    <row r="17" spans="1:2" x14ac:dyDescent="0.3">
      <c r="A17" s="2" t="s">
        <v>15</v>
      </c>
      <c r="B17" s="2" t="s">
        <v>360</v>
      </c>
    </row>
    <row r="18" spans="1:2" x14ac:dyDescent="0.3">
      <c r="A18" s="2" t="s">
        <v>16</v>
      </c>
      <c r="B18" s="2" t="s">
        <v>360</v>
      </c>
    </row>
    <row r="19" spans="1:2" x14ac:dyDescent="0.3">
      <c r="A19" s="2" t="s">
        <v>17</v>
      </c>
      <c r="B19" s="2" t="s">
        <v>360</v>
      </c>
    </row>
    <row r="20" spans="1:2" x14ac:dyDescent="0.3">
      <c r="A20" s="2" t="s">
        <v>18</v>
      </c>
      <c r="B20" s="2" t="s">
        <v>360</v>
      </c>
    </row>
    <row r="21" spans="1:2" x14ac:dyDescent="0.3">
      <c r="A21" s="2" t="s">
        <v>19</v>
      </c>
      <c r="B21" s="2" t="s">
        <v>360</v>
      </c>
    </row>
    <row r="22" spans="1:2" x14ac:dyDescent="0.3">
      <c r="A22" s="2" t="s">
        <v>20</v>
      </c>
      <c r="B22" s="2" t="s">
        <v>360</v>
      </c>
    </row>
    <row r="23" spans="1:2" x14ac:dyDescent="0.3">
      <c r="A23" s="2" t="s">
        <v>21</v>
      </c>
      <c r="B23" s="2" t="s">
        <v>360</v>
      </c>
    </row>
    <row r="24" spans="1:2" x14ac:dyDescent="0.3">
      <c r="A24" s="2" t="s">
        <v>22</v>
      </c>
      <c r="B24" s="2" t="s">
        <v>360</v>
      </c>
    </row>
    <row r="25" spans="1:2" x14ac:dyDescent="0.3">
      <c r="A25" s="2" t="s">
        <v>23</v>
      </c>
      <c r="B25" s="2" t="s">
        <v>360</v>
      </c>
    </row>
    <row r="26" spans="1:2" x14ac:dyDescent="0.3">
      <c r="A26" s="2" t="s">
        <v>24</v>
      </c>
      <c r="B26" s="2" t="s">
        <v>360</v>
      </c>
    </row>
    <row r="27" spans="1:2" x14ac:dyDescent="0.3">
      <c r="A27" s="2" t="s">
        <v>25</v>
      </c>
      <c r="B27" s="2" t="s">
        <v>360</v>
      </c>
    </row>
    <row r="28" spans="1:2" x14ac:dyDescent="0.3">
      <c r="A28" s="2" t="s">
        <v>26</v>
      </c>
      <c r="B28" s="2" t="s">
        <v>360</v>
      </c>
    </row>
    <row r="29" spans="1:2" x14ac:dyDescent="0.3">
      <c r="A29" s="2" t="s">
        <v>27</v>
      </c>
      <c r="B29" s="2" t="s">
        <v>360</v>
      </c>
    </row>
    <row r="30" spans="1:2" x14ac:dyDescent="0.3">
      <c r="A30" s="2" t="s">
        <v>28</v>
      </c>
      <c r="B30" s="2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Closure Matrix</vt:lpstr>
      <vt:lpstr>Closure Workflow</vt:lpstr>
      <vt:lpstr>Validation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2026-08-27T15:35:36Z</dcterms:created>
  <dcterms:modified xsi:type="dcterms:W3CDTF">2026-08-27T15:36:45Z</dcterms:modified>
</cp:coreProperties>
</file>